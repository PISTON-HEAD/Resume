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a297d7d8b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32be21fddff473e"/>
    <x:sheet xmlns:r="http://schemas.openxmlformats.org/officeDocument/2006/relationships" name="Holdings" sheetId="2" r:id="Rb995fcfb5fe54169"/>
    <x:sheet xmlns:r="http://schemas.openxmlformats.org/officeDocument/2006/relationships" name="Assumptions" sheetId="3" r:id="R3a9f6c7f675c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₹&quot;#,##0.00"/>
    <x:numFmt numFmtId="201" formatCode="[Green]&quot;₹&quot;#,##0.00;[Red]-&quot;₹&quot;#,##0.00"/>
    <x:numFmt numFmtId="202" formatCode="0.00%"/>
    <x:numFmt numFmtId="203" formatCode="0"/>
  </x:numFmts>
  <x:fonts count="14">
    <x:font>
      <x:sz val="11"/>
      <x:name val="Carlito"/>
    </x:font>
    <x:font>
      <x:b/>
      <x:sz val="20"/>
      <x:color rgb="17324D"/>
      <x:name val="Calibri"/>
    </x:font>
    <x:font>
      <x:i/>
      <x:sz val="10"/>
      <x:color rgb="667085"/>
      <x:name val="Calibri"/>
    </x:font>
    <x:font>
      <x:b/>
      <x:sz val="10"/>
      <x:color rgb="6B7280"/>
      <x:name val="Calibri"/>
    </x:font>
    <x:font>
      <x:b/>
      <x:sz val="16"/>
      <x:color rgb="0F2747"/>
      <x:name val="Calibri"/>
    </x:font>
    <x:font>
      <x:sz val="10"/>
      <x:color rgb="667085"/>
      <x:name val="Calibri"/>
    </x:font>
    <x:font>
      <x:b/>
      <x:sz val="11"/>
      <x:color rgb="FFFFFF"/>
      <x:name val="Calibri"/>
    </x:font>
    <x:font>
      <x:sz val="11"/>
      <x:color rgb="17324D"/>
      <x:name val="Calibri"/>
    </x:font>
    <x:font>
      <x:b/>
      <x:sz val="11"/>
      <x:color rgb="17324D"/>
      <x:name val="Calibri"/>
    </x:font>
    <x:font>
      <x:sz val="10"/>
      <x:color rgb="374151"/>
      <x:name val="Calibri"/>
    </x:font>
    <x:font>
      <x:b/>
      <x:sz val="10"/>
      <x:color rgb="374151"/>
      <x:name val="Calibri"/>
    </x:font>
    <x:font>
      <x:b/>
      <x:sz val="18"/>
      <x:color rgb="17324D"/>
      <x:name val="Calibri"/>
    </x:font>
    <x:font>
      <x:sz val="10"/>
      <x:color rgb="17324D"/>
      <x:name val="Calibri"/>
    </x:font>
    <x:font>
      <x:sz val="10"/>
      <x:color rgb="475467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7F9FC"/>
      </x:patternFill>
    </x:fill>
    <x:fill>
      <x:patternFill patternType="solid">
        <x:fgColor rgb="FFFFFF"/>
      </x:patternFill>
    </x:fill>
    <x:fill>
      <x:patternFill patternType="solid">
        <x:fgColor rgb="FAFBFC"/>
      </x:patternFill>
    </x:fill>
    <x:fill>
      <x:patternFill patternType="solid">
        <x:fgColor rgb="17324D"/>
      </x:patternFill>
    </x:fill>
    <x:fill>
      <x:patternFill patternType="solid">
        <x:fgColor rgb="EEF2F6"/>
      </x:patternFill>
    </x:fill>
    <x:fill>
      <x:patternFill patternType="solid">
        <x:fgColor rgb="F3F4F6"/>
      </x:patternFill>
    </x:fill>
  </x:fills>
  <x:borders count="24">
    <x:border/>
    <x:border>
      <x:left style="thin">
        <x:color rgb="D6DCE5"/>
      </x:left>
      <x:top style="thin">
        <x:color rgb="D6DCE5"/>
      </x:top>
    </x:border>
    <x:border>
      <x:right style="thin">
        <x:color rgb="D6DCE5"/>
      </x:right>
      <x:top style="thin">
        <x:color rgb="D6DCE5"/>
      </x:top>
    </x:border>
    <x:border>
      <x:left style="thin">
        <x:color rgb="D6DCE5"/>
      </x:left>
    </x:border>
    <x:border>
      <x:right style="thin">
        <x:color rgb="D6DCE5"/>
      </x:right>
    </x:border>
    <x:border>
      <x:left style="thin">
        <x:color rgb="D6DCE5"/>
      </x:left>
      <x:bottom style="thin">
        <x:color rgb="D6DCE5"/>
      </x:bottom>
    </x:border>
    <x:border>
      <x:right style="thin">
        <x:color rgb="D6DCE5"/>
      </x:right>
      <x:bottom style="thin">
        <x:color rgb="D6DCE5"/>
      </x:bottom>
    </x:border>
    <x:border>
      <x:left style="thin">
        <x:color rgb="E3E8EF"/>
      </x:left>
      <x:top style="thin">
        <x:color rgb="E3E8EF"/>
      </x:top>
      <x:bottom style="thin">
        <x:color rgb="E3E8EF"/>
      </x:bottom>
    </x:border>
    <x:border>
      <x:top style="thin">
        <x:color rgb="E3E8EF"/>
      </x:top>
      <x:bottom style="thin">
        <x:color rgb="E3E8EF"/>
      </x:bottom>
    </x:border>
    <x:border>
      <x:right style="thin">
        <x:color rgb="E3E8EF"/>
      </x:right>
      <x:top style="thin">
        <x:color rgb="E3E8EF"/>
      </x:top>
      <x:bottom style="thin">
        <x:color rgb="E3E8EF"/>
      </x:bottom>
    </x:border>
    <x:border>
      <x:left style="thin">
        <x:color rgb="17324D"/>
      </x:left>
      <x:top style="thin">
        <x:color rgb="17324D"/>
      </x:top>
      <x:bottom style="thin">
        <x:color rgb="17324D"/>
      </x:bottom>
    </x:border>
    <x:border>
      <x:top style="thin">
        <x:color rgb="17324D"/>
      </x:top>
      <x:bottom style="thin">
        <x:color rgb="17324D"/>
      </x:bottom>
    </x:border>
    <x:border>
      <x:right style="thin">
        <x:color rgb="17324D"/>
      </x:right>
      <x:top style="thin">
        <x:color rgb="17324D"/>
      </x:top>
      <x:bottom style="thin">
        <x:color rgb="17324D"/>
      </x:bottom>
    </x:border>
    <x:border>
      <x:left style="thin">
        <x:color rgb="E3E8EF"/>
      </x:left>
      <x:top style="thin">
        <x:color rgb="E3E8EF"/>
      </x:top>
    </x:border>
    <x:border>
      <x:top style="thin">
        <x:color rgb="E3E8EF"/>
      </x:top>
    </x:border>
    <x:border>
      <x:right style="thin">
        <x:color rgb="E3E8EF"/>
      </x:right>
      <x:top style="thin">
        <x:color rgb="E3E8EF"/>
      </x:top>
    </x:border>
    <x:border>
      <x:left style="thin">
        <x:color rgb="E3E8EF"/>
      </x:left>
    </x:border>
    <x:border>
      <x:right style="thin">
        <x:color rgb="E3E8EF"/>
      </x:right>
    </x:border>
    <x:border>
      <x:left style="thin">
        <x:color rgb="E3E8EF"/>
      </x:left>
      <x:bottom style="thin">
        <x:color rgb="E3E8EF"/>
      </x:bottom>
    </x:border>
    <x:border>
      <x:bottom style="thin">
        <x:color rgb="E3E8EF"/>
      </x:bottom>
    </x:border>
    <x:border>
      <x:right style="thin">
        <x:color rgb="E3E8EF"/>
      </x:right>
      <x:bottom style="thin">
        <x:color rgb="E3E8EF"/>
      </x:bottom>
    </x:border>
    <x:border>
      <x:left style="thin">
        <x:color rgb="D6DCE5"/>
      </x:left>
      <x:top style="thin">
        <x:color rgb="D6DCE5"/>
      </x:top>
      <x:bottom style="thin">
        <x:color rgb="D6DCE5"/>
      </x:bottom>
    </x:border>
    <x:border>
      <x:top style="thin">
        <x:color rgb="D6DCE5"/>
      </x:top>
      <x:bottom style="thin">
        <x:color rgb="D6DCE5"/>
      </x:bottom>
    </x:border>
    <x:border>
      <x:right style="thin">
        <x:color rgb="D6DCE5"/>
      </x:right>
      <x:top style="thin">
        <x:color rgb="D6DCE5"/>
      </x:top>
      <x:bottom style="thin">
        <x:color rgb="D6DCE5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vertical="center"/>
    </x:xf>
    <x:xf numFmtId="200" fontId="4" fillId="3" borderId="3" xfId="0" applyNumberFormat="1" applyFont="1" applyFill="1" applyBorder="1" applyAlignment="1">
      <x:alignment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1" fontId="4" fillId="3" borderId="3" xfId="0" applyNumberFormat="1" applyFont="1" applyFill="1" applyBorder="1" applyAlignment="1">
      <x:alignment vertical="center"/>
    </x:xf>
    <x:xf numFmtId="201" fontId="4" fillId="3" borderId="3" xfId="0" applyNumberFormat="1" applyFont="1" applyFill="1" applyBorder="1" applyAlignment="1">
      <x:alignment horizontal="center" vertical="center"/>
    </x:xf>
    <x:xf numFmtId="202" fontId="4" fillId="3" borderId="3" xfId="0" applyNumberFormat="1" applyFont="1" applyFill="1" applyBorder="1" applyAlignment="1">
      <x:alignment vertical="center"/>
    </x:xf>
    <x:xf numFmtId="202" fontId="4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0" xfId="0" applyNumberFormat="1" applyFont="1" applyFill="1" applyBorder="1" applyAlignment="1">
      <x:alignment horizontal="center"/>
    </x:xf>
    <x:xf numFmtId="0" fontId="6" fillId="5" borderId="11" xfId="0" applyNumberFormat="1" applyFont="1" applyFill="1" applyBorder="1" applyAlignment="1">
      <x:alignment horizontal="center"/>
    </x:xf>
    <x:xf numFmtId="0" fontId="6" fillId="5" borderId="12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0" fontId="7" fillId="0" borderId="16" xfId="0" applyNumberFormat="1" applyFont="1" applyFill="1" applyBorder="1"/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0" fontId="7" fillId="0" borderId="19" xfId="0" applyNumberFormat="1" applyFont="1" applyFill="1" applyBorder="1"/>
    <x:xf numFmtId="0" fontId="7" fillId="0" borderId="20" xfId="0" applyNumberFormat="1" applyFont="1" applyFill="1" applyBorder="1"/>
    <x:xf numFmtId="0" fontId="7" fillId="0" borderId="13" xfId="0" applyNumberFormat="1" applyFont="1" applyFill="1" applyBorder="1" applyAlignment="1">
      <x:alignment vertical="center"/>
    </x:xf>
    <x:xf numFmtId="0" fontId="7" fillId="0" borderId="14" xfId="0" applyNumberFormat="1" applyFont="1" applyFill="1" applyBorder="1" applyAlignment="1">
      <x:alignment vertical="center"/>
    </x:xf>
    <x:xf numFmtId="0" fontId="7" fillId="0" borderId="15" xfId="0" applyNumberFormat="1" applyFont="1" applyFill="1" applyBorder="1" applyAlignment="1">
      <x:alignment vertical="center"/>
    </x:xf>
    <x:xf numFmtId="0" fontId="7" fillId="0" borderId="16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17" xfId="0" applyNumberFormat="1" applyFont="1" applyFill="1" applyBorder="1" applyAlignment="1">
      <x:alignment vertical="center"/>
    </x:xf>
    <x:xf numFmtId="0" fontId="7" fillId="0" borderId="18" xfId="0" applyNumberFormat="1" applyFont="1" applyFill="1" applyBorder="1" applyAlignment="1">
      <x:alignment vertical="center"/>
    </x:xf>
    <x:xf numFmtId="0" fontId="7" fillId="0" borderId="19" xfId="0" applyNumberFormat="1" applyFont="1" applyFill="1" applyBorder="1" applyAlignment="1">
      <x:alignment vertical="center"/>
    </x:xf>
    <x:xf numFmtId="0" fontId="7" fillId="0" borderId="20" xfId="0" applyNumberFormat="1" applyFont="1" applyFill="1" applyBorder="1" applyAlignment="1">
      <x:alignment vertical="center"/>
    </x:xf>
    <x:xf numFmtId="0" fontId="7" fillId="3" borderId="13" xfId="0" applyNumberFormat="1" applyFont="1" applyFill="1" applyBorder="1" applyAlignment="1">
      <x:alignment vertical="center"/>
    </x:xf>
    <x:xf numFmtId="0" fontId="7" fillId="3" borderId="14" xfId="0" applyNumberFormat="1" applyFont="1" applyFill="1" applyBorder="1" applyAlignment="1">
      <x:alignment vertical="center"/>
    </x:xf>
    <x:xf numFmtId="0" fontId="7" fillId="3" borderId="15" xfId="0" applyNumberFormat="1" applyFont="1" applyFill="1" applyBorder="1" applyAlignment="1">
      <x:alignment vertical="center"/>
    </x:xf>
    <x:xf numFmtId="0" fontId="7" fillId="3" borderId="16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17" xfId="0" applyNumberFormat="1" applyFont="1" applyFill="1" applyBorder="1" applyAlignment="1">
      <x:alignment vertical="center"/>
    </x:xf>
    <x:xf numFmtId="0" fontId="7" fillId="6" borderId="18" xfId="0" applyNumberFormat="1" applyFont="1" applyFill="1" applyBorder="1" applyAlignment="1">
      <x:alignment vertical="center"/>
    </x:xf>
    <x:xf numFmtId="0" fontId="7" fillId="6" borderId="19" xfId="0" applyNumberFormat="1" applyFont="1" applyFill="1" applyBorder="1" applyAlignment="1">
      <x:alignment vertical="center"/>
    </x:xf>
    <x:xf numFmtId="0" fontId="7" fillId="6" borderId="20" xfId="0" applyNumberFormat="1" applyFont="1" applyFill="1" applyBorder="1" applyAlignment="1">
      <x:alignment vertical="center"/>
    </x:xf>
    <x:xf numFmtId="0" fontId="8" fillId="6" borderId="18" xfId="0" applyNumberFormat="1" applyFont="1" applyFill="1" applyBorder="1" applyAlignment="1">
      <x:alignment vertical="center"/>
    </x:xf>
    <x:xf numFmtId="0" fontId="8" fillId="6" borderId="19" xfId="0" applyNumberFormat="1" applyFont="1" applyFill="1" applyBorder="1" applyAlignment="1">
      <x:alignment vertical="center"/>
    </x:xf>
    <x:xf numFmtId="0" fontId="8" fillId="6" borderId="20" xfId="0" applyNumberFormat="1" applyFont="1" applyFill="1" applyBorder="1" applyAlignment="1">
      <x:alignment vertical="center"/>
    </x:xf>
    <x:xf numFmtId="203" fontId="7" fillId="3" borderId="14" xfId="0" applyNumberFormat="1" applyFont="1" applyFill="1" applyBorder="1" applyAlignment="1">
      <x:alignment vertical="center"/>
    </x:xf>
    <x:xf numFmtId="203" fontId="7" fillId="3" borderId="0" xfId="0" applyNumberFormat="1" applyFont="1" applyFill="1" applyBorder="1" applyAlignment="1">
      <x:alignment vertical="center"/>
    </x:xf>
    <x:xf numFmtId="203" fontId="8" fillId="6" borderId="19" xfId="0" applyNumberFormat="1" applyFont="1" applyFill="1" applyBorder="1" applyAlignment="1">
      <x:alignment vertical="center"/>
    </x:xf>
    <x:xf numFmtId="200" fontId="7" fillId="3" borderId="14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0" fontId="8" fillId="6" borderId="19" xfId="0" applyNumberFormat="1" applyFont="1" applyFill="1" applyBorder="1" applyAlignment="1">
      <x:alignment vertical="center"/>
    </x:xf>
    <x:xf numFmtId="202" fontId="7" fillId="3" borderId="14" xfId="0" applyNumberFormat="1" applyFont="1" applyFill="1" applyBorder="1" applyAlignment="1">
      <x:alignment vertical="center"/>
    </x:xf>
    <x:xf numFmtId="202" fontId="7" fillId="3" borderId="15" xfId="0" applyNumberFormat="1" applyFont="1" applyFill="1" applyBorder="1" applyAlignment="1">
      <x:alignment vertical="center"/>
    </x:xf>
    <x:xf numFmtId="202" fontId="7" fillId="3" borderId="0" xfId="0" applyNumberFormat="1" applyFont="1" applyFill="1" applyBorder="1" applyAlignment="1">
      <x:alignment vertical="center"/>
    </x:xf>
    <x:xf numFmtId="202" fontId="7" fillId="3" borderId="17" xfId="0" applyNumberFormat="1" applyFont="1" applyFill="1" applyBorder="1" applyAlignment="1">
      <x:alignment vertical="center"/>
    </x:xf>
    <x:xf numFmtId="202" fontId="8" fillId="6" borderId="19" xfId="0" applyNumberFormat="1" applyFont="1" applyFill="1" applyBorder="1" applyAlignment="1">
      <x:alignment vertical="center"/>
    </x:xf>
    <x:xf numFmtId="202" fontId="8" fillId="6" borderId="2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3" borderId="0" xfId="0" applyNumberFormat="1" applyFont="1" applyFill="1" applyBorder="1"/>
    <x:xf numFmtId="0" fontId="9" fillId="7" borderId="0" xfId="0" applyNumberFormat="1" applyFont="1" applyFill="1" applyBorder="1"/>
    <x:xf numFmtId="0" fontId="9" fillId="3" borderId="0" xfId="0" applyNumberFormat="1" applyFont="1" applyFill="1" applyBorder="1"/>
    <x:xf numFmtId="0" fontId="9" fillId="7" borderId="13" xfId="0" applyNumberFormat="1" applyFont="1" applyFill="1" applyBorder="1"/>
    <x:xf numFmtId="0" fontId="9" fillId="7" borderId="14" xfId="0" applyNumberFormat="1" applyFont="1" applyFill="1" applyBorder="1"/>
    <x:xf numFmtId="0" fontId="9" fillId="7" borderId="15" xfId="0" applyNumberFormat="1" applyFont="1" applyFill="1" applyBorder="1"/>
    <x:xf numFmtId="0" fontId="9" fillId="3" borderId="18" xfId="0" applyNumberFormat="1" applyFont="1" applyFill="1" applyBorder="1"/>
    <x:xf numFmtId="0" fontId="9" fillId="3" borderId="19" xfId="0" applyNumberFormat="1" applyFont="1" applyFill="1" applyBorder="1"/>
    <x:xf numFmtId="0" fontId="9" fillId="3" borderId="20" xfId="0" applyNumberFormat="1" applyFont="1" applyFill="1" applyBorder="1"/>
    <x:xf numFmtId="0" fontId="9" fillId="7" borderId="13" xfId="0" applyNumberFormat="1" applyFont="1" applyFill="1" applyBorder="1" applyAlignment="1">
      <x:alignment vertical="center"/>
    </x:xf>
    <x:xf numFmtId="0" fontId="9" fillId="7" borderId="14" xfId="0" applyNumberFormat="1" applyFont="1" applyFill="1" applyBorder="1" applyAlignment="1">
      <x:alignment vertical="center"/>
    </x:xf>
    <x:xf numFmtId="0" fontId="9" fillId="7" borderId="15" xfId="0" applyNumberFormat="1" applyFont="1" applyFill="1" applyBorder="1" applyAlignment="1">
      <x:alignment vertical="center"/>
    </x:xf>
    <x:xf numFmtId="0" fontId="9" fillId="3" borderId="18" xfId="0" applyNumberFormat="1" applyFont="1" applyFill="1" applyBorder="1" applyAlignment="1">
      <x:alignment vertical="center"/>
    </x:xf>
    <x:xf numFmtId="0" fontId="9" fillId="3" borderId="19" xfId="0" applyNumberFormat="1" applyFont="1" applyFill="1" applyBorder="1" applyAlignment="1">
      <x:alignment vertical="center"/>
    </x:xf>
    <x:xf numFmtId="0" fontId="9" fillId="3" borderId="20" xfId="0" applyNumberFormat="1" applyFont="1" applyFill="1" applyBorder="1" applyAlignment="1">
      <x:alignment vertical="center"/>
    </x:xf>
    <x:xf numFmtId="0" fontId="10" fillId="7" borderId="13" xfId="0" applyNumberFormat="1" applyFont="1" applyFill="1" applyBorder="1" applyAlignment="1">
      <x:alignment vertical="center"/>
    </x:xf>
    <x:xf numFmtId="0" fontId="10" fillId="7" borderId="14" xfId="0" applyNumberFormat="1" applyFont="1" applyFill="1" applyBorder="1" applyAlignment="1">
      <x:alignment vertical="center"/>
    </x:xf>
    <x:xf numFmtId="0" fontId="10" fillId="7" borderId="15" xfId="0" applyNumberFormat="1" applyFont="1" applyFill="1" applyBorder="1" applyAlignment="1">
      <x:alignment vertical="center"/>
    </x:xf>
    <x:xf numFmtId="200" fontId="9" fillId="3" borderId="19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13" xfId="0" applyNumberFormat="1" applyFont="1" applyFill="1" applyBorder="1"/>
    <x:xf numFmtId="0" fontId="12" fillId="0" borderId="14" xfId="0" applyNumberFormat="1" applyFont="1" applyFill="1" applyBorder="1"/>
    <x:xf numFmtId="0" fontId="12" fillId="0" borderId="15" xfId="0" applyNumberFormat="1" applyFont="1" applyFill="1" applyBorder="1"/>
    <x:xf numFmtId="0" fontId="12" fillId="0" borderId="16" xfId="0" applyNumberFormat="1" applyFont="1" applyFill="1" applyBorder="1"/>
    <x:xf numFmtId="0" fontId="12" fillId="0" borderId="17" xfId="0" applyNumberFormat="1" applyFont="1" applyFill="1" applyBorder="1"/>
    <x:xf numFmtId="0" fontId="12" fillId="0" borderId="18" xfId="0" applyNumberFormat="1" applyFont="1" applyFill="1" applyBorder="1"/>
    <x:xf numFmtId="0" fontId="12" fillId="0" borderId="19" xfId="0" applyNumberFormat="1" applyFont="1" applyFill="1" applyBorder="1"/>
    <x:xf numFmtId="0" fontId="12" fillId="0" borderId="20" xfId="0" applyNumberFormat="1" applyFont="1" applyFill="1" applyBorder="1"/>
    <x:xf numFmtId="0" fontId="12" fillId="0" borderId="13" xfId="0" applyNumberFormat="1" applyFont="1" applyFill="1" applyBorder="1" applyAlignment="1">
      <x:alignment vertical="center"/>
    </x:xf>
    <x:xf numFmtId="0" fontId="12" fillId="0" borderId="14" xfId="0" applyNumberFormat="1" applyFont="1" applyFill="1" applyBorder="1" applyAlignment="1">
      <x:alignment vertical="center"/>
    </x:xf>
    <x:xf numFmtId="0" fontId="12" fillId="0" borderId="15" xfId="0" applyNumberFormat="1" applyFont="1" applyFill="1" applyBorder="1" applyAlignment="1">
      <x:alignment vertical="center"/>
    </x:xf>
    <x:xf numFmtId="0" fontId="12" fillId="0" borderId="16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0" borderId="17" xfId="0" applyNumberFormat="1" applyFont="1" applyFill="1" applyBorder="1" applyAlignment="1">
      <x:alignment vertical="center"/>
    </x:xf>
    <x:xf numFmtId="0" fontId="12" fillId="0" borderId="18" xfId="0" applyNumberFormat="1" applyFont="1" applyFill="1" applyBorder="1" applyAlignment="1">
      <x:alignment vertical="center"/>
    </x:xf>
    <x:xf numFmtId="0" fontId="12" fillId="0" borderId="19" xfId="0" applyNumberFormat="1" applyFont="1" applyFill="1" applyBorder="1" applyAlignment="1">
      <x:alignment vertical="center"/>
    </x:xf>
    <x:xf numFmtId="0" fontId="12" fillId="0" borderId="20" xfId="0" applyNumberFormat="1" applyFont="1" applyFill="1" applyBorder="1" applyAlignment="1">
      <x:alignment vertical="center"/>
    </x:xf>
    <x:xf numFmtId="0" fontId="12" fillId="3" borderId="13" xfId="0" applyNumberFormat="1" applyFont="1" applyFill="1" applyBorder="1" applyAlignment="1">
      <x:alignment vertical="center"/>
    </x:xf>
    <x:xf numFmtId="0" fontId="12" fillId="3" borderId="14" xfId="0" applyNumberFormat="1" applyFont="1" applyFill="1" applyBorder="1" applyAlignment="1">
      <x:alignment vertical="center"/>
    </x:xf>
    <x:xf numFmtId="0" fontId="12" fillId="3" borderId="15" xfId="0" applyNumberFormat="1" applyFont="1" applyFill="1" applyBorder="1" applyAlignment="1">
      <x:alignment vertical="center"/>
    </x:xf>
    <x:xf numFmtId="0" fontId="12" fillId="3" borderId="16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/>
    </x:xf>
    <x:xf numFmtId="0" fontId="12" fillId="3" borderId="17" xfId="0" applyNumberFormat="1" applyFont="1" applyFill="1" applyBorder="1" applyAlignment="1">
      <x:alignment vertical="center"/>
    </x:xf>
    <x:xf numFmtId="0" fontId="12" fillId="3" borderId="18" xfId="0" applyNumberFormat="1" applyFont="1" applyFill="1" applyBorder="1" applyAlignment="1">
      <x:alignment vertical="center"/>
    </x:xf>
    <x:xf numFmtId="0" fontId="12" fillId="3" borderId="19" xfId="0" applyNumberFormat="1" applyFont="1" applyFill="1" applyBorder="1" applyAlignment="1">
      <x:alignment vertical="center"/>
    </x:xf>
    <x:xf numFmtId="0" fontId="12" fillId="3" borderId="2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1" xfId="0" applyNumberFormat="1" applyFont="1" applyFill="1" applyBorder="1"/>
    <x:xf numFmtId="0" fontId="8" fillId="6" borderId="22" xfId="0" applyNumberFormat="1" applyFont="1" applyFill="1" applyBorder="1"/>
    <x:xf numFmtId="0" fontId="8" fillId="6" borderId="23" xfId="0" applyNumberFormat="1" applyFont="1" applyFill="1" applyBorder="1"/>
    <x:xf numFmtId="203" fontId="12" fillId="3" borderId="14" xfId="0" applyNumberFormat="1" applyFont="1" applyFill="1" applyBorder="1" applyAlignment="1">
      <x:alignment vertical="center"/>
    </x:xf>
    <x:xf numFmtId="203" fontId="12" fillId="3" borderId="0" xfId="0" applyNumberFormat="1" applyFont="1" applyFill="1" applyBorder="1" applyAlignment="1">
      <x:alignment vertical="center"/>
    </x:xf>
    <x:xf numFmtId="203" fontId="12" fillId="3" borderId="19" xfId="0" applyNumberFormat="1" applyFont="1" applyFill="1" applyBorder="1" applyAlignment="1">
      <x:alignment vertical="center"/>
    </x:xf>
    <x:xf numFmtId="203" fontId="8" fillId="6" borderId="22" xfId="0" applyNumberFormat="1" applyFont="1" applyFill="1" applyBorder="1"/>
    <x:xf numFmtId="200" fontId="12" fillId="3" borderId="14" xfId="0" applyNumberFormat="1" applyFont="1" applyFill="1" applyBorder="1" applyAlignment="1">
      <x:alignment vertical="center"/>
    </x:xf>
    <x:xf numFmtId="200" fontId="12" fillId="3" borderId="0" xfId="0" applyNumberFormat="1" applyFont="1" applyFill="1" applyBorder="1" applyAlignment="1">
      <x:alignment vertical="center"/>
    </x:xf>
    <x:xf numFmtId="200" fontId="12" fillId="3" borderId="19" xfId="0" applyNumberFormat="1" applyFont="1" applyFill="1" applyBorder="1" applyAlignment="1">
      <x:alignment vertical="center"/>
    </x:xf>
    <x:xf numFmtId="200" fontId="8" fillId="6" borderId="22" xfId="0" applyNumberFormat="1" applyFont="1" applyFill="1" applyBorder="1"/>
    <x:xf numFmtId="201" fontId="12" fillId="3" borderId="14" xfId="0" applyNumberFormat="1" applyFont="1" applyFill="1" applyBorder="1" applyAlignment="1">
      <x:alignment vertical="center"/>
    </x:xf>
    <x:xf numFmtId="201" fontId="12" fillId="3" borderId="0" xfId="0" applyNumberFormat="1" applyFont="1" applyFill="1" applyBorder="1" applyAlignment="1">
      <x:alignment vertical="center"/>
    </x:xf>
    <x:xf numFmtId="201" fontId="12" fillId="3" borderId="19" xfId="0" applyNumberFormat="1" applyFont="1" applyFill="1" applyBorder="1" applyAlignment="1">
      <x:alignment vertical="center"/>
    </x:xf>
    <x:xf numFmtId="201" fontId="8" fillId="6" borderId="22" xfId="0" applyNumberFormat="1" applyFont="1" applyFill="1" applyBorder="1"/>
    <x:xf numFmtId="202" fontId="12" fillId="3" borderId="14" xfId="0" applyNumberFormat="1" applyFont="1" applyFill="1" applyBorder="1" applyAlignment="1">
      <x:alignment vertical="center"/>
    </x:xf>
    <x:xf numFmtId="202" fontId="12" fillId="3" borderId="0" xfId="0" applyNumberFormat="1" applyFont="1" applyFill="1" applyBorder="1" applyAlignment="1">
      <x:alignment vertical="center"/>
    </x:xf>
    <x:xf numFmtId="202" fontId="12" fillId="3" borderId="19" xfId="0" applyNumberFormat="1" applyFont="1" applyFill="1" applyBorder="1" applyAlignment="1">
      <x:alignment vertical="center"/>
    </x:xf>
    <x:xf numFmtId="202" fontId="8" fillId="6" borderId="22" xfId="0" applyNumberFormat="1" applyFont="1" applyFill="1" applyBorder="1"/>
    <x:xf numFmtId="0" fontId="13" fillId="2" borderId="0" xfId="0" applyNumberFormat="1" applyFont="1" applyFill="1" applyBorder="1"/>
    <x:xf numFmtId="0" fontId="13" fillId="2" borderId="13" xfId="0" applyNumberFormat="1" applyFont="1" applyFill="1" applyBorder="1"/>
    <x:xf numFmtId="0" fontId="13" fillId="2" borderId="14" xfId="0" applyNumberFormat="1" applyFont="1" applyFill="1" applyBorder="1"/>
    <x:xf numFmtId="0" fontId="13" fillId="2" borderId="15" xfId="0" applyNumberFormat="1" applyFont="1" applyFill="1" applyBorder="1"/>
    <x:xf numFmtId="0" fontId="13" fillId="2" borderId="18" xfId="0" applyNumberFormat="1" applyFont="1" applyFill="1" applyBorder="1"/>
    <x:xf numFmtId="0" fontId="13" fillId="2" borderId="19" xfId="0" applyNumberFormat="1" applyFont="1" applyFill="1" applyBorder="1"/>
    <x:xf numFmtId="0" fontId="13" fillId="2" borderId="20" xfId="0" applyNumberFormat="1" applyFont="1" applyFill="1" applyBorder="1"/>
    <x:xf numFmtId="0" fontId="13" fillId="2" borderId="13" xfId="0" applyNumberFormat="1" applyFont="1" applyFill="1" applyBorder="1" applyAlignment="1">
      <x:alignment wrapText="1"/>
    </x:xf>
    <x:xf numFmtId="0" fontId="13" fillId="2" borderId="14" xfId="0" applyNumberFormat="1" applyFont="1" applyFill="1" applyBorder="1" applyAlignment="1">
      <x:alignment wrapText="1"/>
    </x:xf>
    <x:xf numFmtId="0" fontId="13" fillId="2" borderId="15" xfId="0" applyNumberFormat="1" applyFont="1" applyFill="1" applyBorder="1" applyAlignment="1">
      <x:alignment wrapText="1"/>
    </x:xf>
    <x:xf numFmtId="0" fontId="13" fillId="2" borderId="18" xfId="0" applyNumberFormat="1" applyFont="1" applyFill="1" applyBorder="1" applyAlignment="1">
      <x:alignment wrapText="1"/>
    </x:xf>
    <x:xf numFmtId="0" fontId="13" fillId="2" borderId="19" xfId="0" applyNumberFormat="1" applyFont="1" applyFill="1" applyBorder="1" applyAlignment="1">
      <x:alignment wrapText="1"/>
    </x:xf>
    <x:xf numFmtId="0" fontId="13" fillId="2" borderId="20" xfId="0" applyNumberFormat="1" applyFont="1" applyFill="1" applyBorder="1" applyAlignment="1">
      <x:alignment wrapText="1"/>
    </x:xf>
    <x:xf numFmtId="0" fontId="12" fillId="0" borderId="13" xfId="0" applyNumberFormat="1" applyFont="1" applyFill="1" applyBorder="1" applyAlignment="1">
      <x:alignment wrapText="1"/>
    </x:xf>
    <x:xf numFmtId="0" fontId="12" fillId="0" borderId="14" xfId="0" applyNumberFormat="1" applyFont="1" applyFill="1" applyBorder="1" applyAlignment="1">
      <x:alignment wrapText="1"/>
    </x:xf>
    <x:xf numFmtId="0" fontId="12" fillId="0" borderId="15" xfId="0" applyNumberFormat="1" applyFont="1" applyFill="1" applyBorder="1" applyAlignment="1">
      <x:alignment wrapText="1"/>
    </x:xf>
    <x:xf numFmtId="0" fontId="12" fillId="0" borderId="16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7" xfId="0" applyNumberFormat="1" applyFont="1" applyFill="1" applyBorder="1" applyAlignment="1">
      <x:alignment wrapText="1"/>
    </x:xf>
    <x:xf numFmtId="0" fontId="12" fillId="0" borderId="18" xfId="0" applyNumberFormat="1" applyFont="1" applyFill="1" applyBorder="1" applyAlignment="1">
      <x:alignment wrapText="1"/>
    </x:xf>
    <x:xf numFmtId="0" fontId="12" fillId="0" borderId="19" xfId="0" applyNumberFormat="1" applyFont="1" applyFill="1" applyBorder="1" applyAlignment="1">
      <x:alignment wrapText="1"/>
    </x:xf>
    <x:xf numFmtId="0" fontId="12" fillId="0" borderId="20" xfId="0" applyNumberFormat="1" applyFont="1" applyFill="1" applyBorder="1" applyAlignment="1">
      <x:alignment wrapText="1"/>
    </x:xf>
    <x:xf numFmtId="0" fontId="12" fillId="0" borderId="13" xfId="0" applyNumberFormat="1" applyFont="1" applyFill="1" applyBorder="1" applyAlignment="1">
      <x:alignment vertical="center" wrapText="1"/>
    </x:xf>
    <x:xf numFmtId="0" fontId="12" fillId="0" borderId="14" xfId="0" applyNumberFormat="1" applyFont="1" applyFill="1" applyBorder="1" applyAlignment="1">
      <x:alignment vertical="center" wrapText="1"/>
    </x:xf>
    <x:xf numFmtId="0" fontId="12" fillId="0" borderId="15" xfId="0" applyNumberFormat="1" applyFont="1" applyFill="1" applyBorder="1" applyAlignment="1">
      <x:alignment vertical="center" wrapText="1"/>
    </x:xf>
    <x:xf numFmtId="0" fontId="12" fillId="0" borderId="16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17" xfId="0" applyNumberFormat="1" applyFont="1" applyFill="1" applyBorder="1" applyAlignment="1">
      <x:alignment vertical="center" wrapText="1"/>
    </x:xf>
    <x:xf numFmtId="0" fontId="12" fillId="0" borderId="18" xfId="0" applyNumberFormat="1" applyFont="1" applyFill="1" applyBorder="1" applyAlignment="1">
      <x:alignment vertical="center" wrapText="1"/>
    </x:xf>
    <x:xf numFmtId="0" fontId="12" fillId="0" borderId="19" xfId="0" applyNumberFormat="1" applyFont="1" applyFill="1" applyBorder="1" applyAlignment="1">
      <x:alignment vertical="center" wrapText="1"/>
    </x:xf>
    <x:xf numFmtId="0" fontId="12" fillId="0" borderId="20" xfId="0" applyNumberFormat="1" applyFont="1" applyFill="1" applyBorder="1" applyAlignment="1">
      <x:alignment vertical="center" wrapText="1"/>
    </x:xf>
    <x:xf numFmtId="0" fontId="12" fillId="3" borderId="13" xfId="0" applyNumberFormat="1" applyFont="1" applyFill="1" applyBorder="1" applyAlignment="1">
      <x:alignment vertical="center" wrapText="1"/>
    </x:xf>
    <x:xf numFmtId="0" fontId="12" fillId="3" borderId="14" xfId="0" applyNumberFormat="1" applyFont="1" applyFill="1" applyBorder="1" applyAlignment="1">
      <x:alignment vertical="center" wrapText="1"/>
    </x:xf>
    <x:xf numFmtId="0" fontId="12" fillId="3" borderId="15" xfId="0" applyNumberFormat="1" applyFont="1" applyFill="1" applyBorder="1" applyAlignment="1">
      <x:alignment vertical="center" wrapText="1"/>
    </x:xf>
    <x:xf numFmtId="0" fontId="12" fillId="3" borderId="16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 wrapText="1"/>
    </x:xf>
    <x:xf numFmtId="0" fontId="12" fillId="3" borderId="17" xfId="0" applyNumberFormat="1" applyFont="1" applyFill="1" applyBorder="1" applyAlignment="1">
      <x:alignment vertical="center" wrapText="1"/>
    </x:xf>
    <x:xf numFmtId="0" fontId="12" fillId="3" borderId="18" xfId="0" applyNumberFormat="1" applyFont="1" applyFill="1" applyBorder="1" applyAlignment="1">
      <x:alignment vertical="center" wrapText="1"/>
    </x:xf>
    <x:xf numFmtId="0" fontId="12" fillId="3" borderId="19" xfId="0" applyNumberFormat="1" applyFont="1" applyFill="1" applyBorder="1" applyAlignment="1">
      <x:alignment vertical="center" wrapText="1"/>
    </x:xf>
    <x:xf numFmtId="0" fontId="12" fillId="3" borderId="20" xfId="0" applyNumberFormat="1" applyFont="1" applyFill="1" applyBorder="1" applyAlignment="1">
      <x:alignment vertical="center" wrapText="1"/>
    </x:xf>
    <x:xf numFmtId="203" fontId="12" fillId="3" borderId="14" xfId="0" applyNumberFormat="1" applyFont="1" applyFill="1" applyBorder="1" applyAlignment="1">
      <x:alignment vertical="center" wrapText="1"/>
    </x:xf>
    <x:xf numFmtId="203" fontId="12" fillId="3" borderId="0" xfId="0" applyNumberFormat="1" applyFont="1" applyFill="1" applyBorder="1" applyAlignment="1">
      <x:alignment vertical="center" wrapText="1"/>
    </x:xf>
    <x:xf numFmtId="203" fontId="12" fillId="3" borderId="1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66b8f8e1649c1" /><Relationship Type="http://schemas.openxmlformats.org/officeDocument/2006/relationships/theme" Target="/xl/theme/theme1.xml" Id="Rf37b482aaf1d422a" /><Relationship Type="http://schemas.openxmlformats.org/officeDocument/2006/relationships/sharedStrings" Target="/xl/sharedStrings.xml" Id="Rc94ba096b16c48b6" /><Relationship Type="http://schemas.openxmlformats.org/officeDocument/2006/relationships/worksheet" Target="/xl/worksheets/sheet1.xml" Id="Rf32be21fddff473e" /><Relationship Type="http://schemas.openxmlformats.org/officeDocument/2006/relationships/worksheet" Target="/xl/worksheets/sheet2.xml" Id="Rb995fcfb5fe54169" /><Relationship Type="http://schemas.openxmlformats.org/officeDocument/2006/relationships/worksheet" Target="/xl/worksheets/sheet3.xml" Id="R3a9f6c7f675c40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bdf25918ff49d3" /><Relationship Type="http://schemas.openxmlformats.org/officeDocument/2006/relationships/chart" Target="/xl/drawings/charts/chart2.xml" Id="R0395a4504b3840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 Allocation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Allocation</c:v>
          </c:tx>
          <c:cat>
            <c:strRef>
              <c:f>'Dashboard'!$M$11:$M$13</c:f>
              <c:strCache>
                <c:ptCount val="0"/>
              </c:strCache>
            </c:strRef>
          </c:cat>
          <c:val>
            <c:numRef>
              <c:f>'Dashboard'!$N$11:$N$13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Invested vs Current by Bucket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Invested</c:v>
          </c:tx>
          <c:cat>
            <c:strRef>
              <c:f>'Dashboard'!$M$17:$M$19</c:f>
              <c:strCache>
                <c:ptCount val="0"/>
              </c:strCache>
            </c:strRef>
          </c:cat>
          <c:val>
            <c:numRef>
              <c:f>'Dashboard'!$N$17:$N$19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Current</c:v>
          </c:tx>
          <c:cat>
            <c:strRef>
              <c:f>'Dashboard'!$M$17:$M$19</c:f>
              <c:strCache>
                <c:ptCount val="0"/>
              </c:strCache>
            </c:strRef>
          </c:cat>
          <c:val>
            <c:numRef>
              <c:f>'Dashboard'!$O$17:$O$19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9</xdr:row>
      <xdr:rowOff>0</xdr:rowOff>
    </xdr:from>
    <xdr:ext cx="400050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bdf25918ff49d3"/>
        </a:graphicData>
      </a:graphic>
    </xdr:graphicFrame>
    <xdr:clientData/>
  </xdr:oneCellAnchor>
  <xdr:oneCellAnchor>
    <xdr:from>
      <xdr:col>0</xdr:col>
      <xdr:colOff>0</xdr:colOff>
      <xdr:row>18</xdr:row>
      <xdr:rowOff>0</xdr:rowOff>
    </xdr:from>
    <xdr:ext cx="8763000" cy="3048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95a4504b3840fe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0d4267f9584708" /></Relationships>
</file>

<file path=xl/worksheets/sheet1.xml><?xml version="1.0" encoding="utf-8"?>
<x:worksheet xmlns:x="http://schemas.openxmlformats.org/spreadsheetml/2006/main">
  <x:sheetFormatPr defaultRowHeight="15"/>
  <x:cols>
    <x:col min="1" max="1" width="40.91999816894531" hidden="0" customWidth="1"/>
    <x:col min="2" max="2" width="12.649999618530273" hidden="0" customWidth="1"/>
    <x:col min="3" max="3" width="14" hidden="0" customWidth="1"/>
    <x:col min="4" max="4" width="20.31999969482422" hidden="0" customWidth="1"/>
    <x:col min="5" max="5" width="9.6899995803833" hidden="0" customWidth="1"/>
    <x:col min="6" max="6" width="7.400000095367432" hidden="0" customWidth="1"/>
    <x:col min="7" max="7" width="13.0600004196167" hidden="0" customWidth="1"/>
    <x:col min="10" max="10" width="10.770000457763672" hidden="0" customWidth="1"/>
  </x:cols>
  <x:sheetData>
    <x:row r="1">
      <x:c r="A1" s="2" t="str">
        <x:v>Portfolio Dashboard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Minimal portfolio summary with clean allocation visuals.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>
      <x:c r="A4" s="23" t="str">
        <x:v>Total Invested</x:v>
      </x:c>
      <x:c r="B4" s="17"/>
      <x:c r="D4" s="23" t="str">
        <x:v>Current Value</x:v>
      </x:c>
      <x:c r="E4" s="17"/>
      <x:c r="G4" s="23" t="str">
        <x:v>Profit / Loss</x:v>
      </x:c>
      <x:c r="H4" s="17"/>
      <x:c r="J4" s="23" t="str">
        <x:v>Overall Return</x:v>
      </x:c>
      <x:c r="K4" s="17"/>
    </x:row>
    <x:row r="5">
      <x:c r="A5" s="26" t="n">
        <x:f>SUM(Holdings!C5:C22)</x:f>
        <x:v>318907.85000000003</x:v>
      </x:c>
      <x:c r="B5" s="19"/>
      <x:c r="D5" s="26" t="n">
        <x:f>SUM(Holdings!D5:D22)</x:f>
        <x:v>357618.8399999999</x:v>
      </x:c>
      <x:c r="E5" s="19"/>
      <x:c r="G5" s="28" t="n">
        <x:f>SUM(Holdings!E5:E22)</x:f>
        <x:v>38710.99</x:v>
      </x:c>
      <x:c r="H5" s="19"/>
      <x:c r="J5" s="30" t="n">
        <x:f>IF(A5=0,0,G5/A5)</x:f>
        <x:v>0.12138613082117607</x:v>
      </x:c>
      <x:c r="K5" s="19"/>
    </x:row>
    <x:row r="6">
      <x:c r="A6" s="20"/>
      <x:c r="B6" s="21"/>
      <x:c r="D6" s="20"/>
      <x:c r="E6" s="21"/>
      <x:c r="G6" s="20"/>
      <x:c r="H6" s="21"/>
      <x:c r="J6" s="20"/>
      <x:c r="K6" s="21"/>
    </x:row>
    <x:row r="8" ht="15" hidden="0" customHeight="1">
      <x:c r="A8" s="33" t="str">
        <x:v>Equity charts exclude TATAGOLD ETF.</x:v>
      </x:c>
      <x:c r="B8" s="34"/>
      <x:c r="C8" s="34"/>
      <x:c r="D8" s="34"/>
      <x:c r="E8" s="34"/>
      <x:c r="F8" s="34"/>
      <x:c r="G8" s="34"/>
      <x:c r="H8" s="34"/>
      <x:c r="I8" s="34"/>
      <x:c r="J8" s="34"/>
      <x:c r="K8" s="35"/>
    </x:row>
    <x:row r="10">
      <x:c r="A10" s="41" t="str">
        <x:v>Market Cap Bucket</x:v>
      </x:c>
      <x:c r="B10" s="42" t="str">
        <x:v>Holdings</x:v>
      </x:c>
      <x:c r="C10" s="42" t="str">
        <x:v>Invested Amount</x:v>
      </x:c>
      <x:c r="D10" s="42" t="str">
        <x:v>Current Value</x:v>
      </x:c>
      <x:c r="E10" s="42" t="str">
        <x:v>Profit / Loss</x:v>
      </x:c>
      <x:c r="F10" s="42" t="str">
        <x:v>Return %</x:v>
      </x:c>
      <x:c r="G10" s="43" t="str">
        <x:v>Allocation %</x:v>
      </x:c>
      <x:c r="M10" t="str">
        <x:v>Bucket</x:v>
      </x:c>
      <x:c r="N10" t="str">
        <x:v>Allocation</x:v>
      </x:c>
    </x:row>
    <x:row r="11">
      <x:c r="A11" s="62" t="str">
        <x:v>Large Cap</x:v>
      </x:c>
      <x:c r="B11" s="74" t="n">
        <x:f>COUNTIF(Holdings!G5:G22,A11)</x:f>
        <x:v>8</x:v>
      </x:c>
      <x:c r="C11" s="77" t="n">
        <x:f>SUMIF(Holdings!G5:G22,A11,Holdings!C5:C22)</x:f>
        <x:v>179436.05000000002</x:v>
      </x:c>
      <x:c r="D11" s="77" t="n">
        <x:f>SUMIF(Holdings!G5:G22,A11,Holdings!D5:D22)</x:f>
        <x:v>198350.09</x:v>
      </x:c>
      <x:c r="E11" s="77" t="n">
        <x:f>D11-C11</x:f>
        <x:v>18914.03999999998</x:v>
      </x:c>
      <x:c r="F11" s="80" t="n">
        <x:f>IF(C11=0,0,E11/C11)</x:f>
        <x:v>0.10540824990295973</x:v>
      </x:c>
      <x:c r="G11" s="81" t="n">
        <x:f>IF($C$14=0,0,C11/$C$14)</x:f>
        <x:v>0.5895584998717788</x:v>
      </x:c>
      <x:c r="M11" t="str">
        <x:v>Large Cap</x:v>
      </x:c>
      <x:c r="N11" t="n">
        <x:f>G11</x:f>
        <x:v>0.5895584998717788</x:v>
      </x:c>
    </x:row>
    <x:row r="12">
      <x:c r="A12" s="65" t="str">
        <x:v>Mid Cap</x:v>
      </x:c>
      <x:c r="B12" s="75" t="n">
        <x:f>COUNTIF(Holdings!G5:G22,A12)</x:f>
        <x:v>4</x:v>
      </x:c>
      <x:c r="C12" s="78" t="n">
        <x:f>SUMIF(Holdings!G5:G22,A12,Holdings!C5:C22)</x:f>
        <x:v>57028.26</x:v>
      </x:c>
      <x:c r="D12" s="78" t="n">
        <x:f>SUMIF(Holdings!G5:G22,A12,Holdings!D5:D22)</x:f>
        <x:v>61567.450000000004</x:v>
      </x:c>
      <x:c r="E12" s="78" t="n">
        <x:f>D12-C12</x:f>
        <x:v>4539.190000000002</x:v>
      </x:c>
      <x:c r="F12" s="82" t="n">
        <x:f>IF(C12=0,0,E12/C12)</x:f>
        <x:v>0.07959544969459005</x:v>
      </x:c>
      <x:c r="G12" s="83" t="n">
        <x:f>IF($C$14=0,0,C12/$C$14)</x:f>
        <x:v>0.18737313608886152</x:v>
      </x:c>
      <x:c r="M12" t="str">
        <x:v>Mid Cap</x:v>
      </x:c>
      <x:c r="N12" t="n">
        <x:f>G12</x:f>
        <x:v>0.18737313608886152</x:v>
      </x:c>
    </x:row>
    <x:row r="13">
      <x:c r="A13" s="65" t="str">
        <x:v>Small Cap</x:v>
      </x:c>
      <x:c r="B13" s="75" t="n">
        <x:f>COUNTIF(Holdings!G5:G22,A13)</x:f>
        <x:v>5</x:v>
      </x:c>
      <x:c r="C13" s="78" t="n">
        <x:f>SUMIF(Holdings!G5:G22,A13,Holdings!C5:C22)</x:f>
        <x:v>67892.34</x:v>
      </x:c>
      <x:c r="D13" s="78" t="n">
        <x:f>SUMIF(Holdings!G5:G22,A13,Holdings!D5:D22)</x:f>
        <x:v>84287.5</x:v>
      </x:c>
      <x:c r="E13" s="78" t="n">
        <x:f>D13-C13</x:f>
        <x:v>16395.160000000003</x:v>
      </x:c>
      <x:c r="F13" s="82" t="n">
        <x:f>IF(C13=0,0,E13/C13)</x:f>
        <x:v>0.2414876258499855</x:v>
      </x:c>
      <x:c r="G13" s="83" t="n">
        <x:f>IF($C$14=0,0,C13/$C$14)</x:f>
        <x:v>0.22306836403935973</x:v>
      </x:c>
      <x:c r="M13" t="str">
        <x:v>Small Cap</x:v>
      </x:c>
      <x:c r="N13" t="n">
        <x:f>G13</x:f>
        <x:v>0.22306836403935973</x:v>
      </x:c>
    </x:row>
    <x:row r="14">
      <x:c r="A14" s="71" t="str">
        <x:v>Total Equity</x:v>
      </x:c>
      <x:c r="B14" s="76" t="n">
        <x:f>SUM(B11:B13)</x:f>
        <x:v>17</x:v>
      </x:c>
      <x:c r="C14" s="79" t="n">
        <x:f>SUM(C11:C13)</x:f>
        <x:v>304356.65</x:v>
      </x:c>
      <x:c r="D14" s="79" t="n">
        <x:f>SUM(D11:D13)</x:f>
        <x:v>344205.04000000004</x:v>
      </x:c>
      <x:c r="E14" s="79" t="n">
        <x:f>SUM(E11:E13)</x:f>
        <x:v>39848.389999999985</x:v>
      </x:c>
      <x:c r="F14" s="84" t="n">
        <x:f>IF(C14=0,0,E14/C14)</x:f>
        <x:v>0.13092662834868232</x:v>
      </x:c>
      <x:c r="G14" s="85" t="n">
        <x:f>IF(C14=0,0,C14/C14)</x:f>
        <x:v>1</x:v>
      </x:c>
    </x:row>
    <x:row r="16">
      <x:c r="A16" s="102" t="str">
        <x:v>Other / ETF</x:v>
      </x:c>
      <x:c r="B16" s="103" t="str">
        <x:v>Invested Amount</x:v>
      </x:c>
      <x:c r="C16" s="103" t="str">
        <x:v>Current Value</x:v>
      </x:c>
      <x:c r="D16" s="103" t="str">
        <x:v>Status</x:v>
      </x:c>
      <x:c r="E16" s="103"/>
      <x:c r="F16" s="103"/>
      <x:c r="G16" s="104"/>
      <x:c r="M16" t="str">
        <x:v>Bucket</x:v>
      </x:c>
      <x:c r="N16" t="str">
        <x:v>Invested</x:v>
      </x:c>
      <x:c r="O16" t="str">
        <x:v>Current</x:v>
      </x:c>
    </x:row>
    <x:row r="17">
      <x:c r="A17" s="99" t="str">
        <x:v>TATAGOLD</x:v>
      </x:c>
      <x:c r="B17" s="105" t="n">
        <x:f>SUMIF(Holdings!G5:G22,"Other",Holdings!C5:C22)</x:f>
        <x:v>14551.2</x:v>
      </x:c>
      <x:c r="C17" s="105" t="n">
        <x:f>SUMIF(Holdings!G5:G22,"Other",Holdings!D5:D22)</x:f>
        <x:v>13413.8</x:v>
      </x:c>
      <x:c r="D17" s="100" t="str">
        <x:v>Excluded from equity charts</x:v>
      </x:c>
      <x:c r="E17" s="100"/>
      <x:c r="F17" s="100"/>
      <x:c r="G17" s="101"/>
      <x:c r="M17" t="str">
        <x:v>Large Cap</x:v>
      </x:c>
      <x:c r="N17" t="n">
        <x:f>C11</x:f>
        <x:v>179436.05000000002</x:v>
      </x:c>
      <x:c r="O17" t="n">
        <x:f>D11</x:f>
        <x:v>198350.09</x:v>
      </x:c>
    </x:row>
    <x:row r="18">
      <x:c r="M18" t="str">
        <x:v>Mid Cap</x:v>
      </x:c>
      <x:c r="N18" t="n">
        <x:f>C12</x:f>
        <x:v>57028.26</x:v>
      </x:c>
      <x:c r="O18" t="n">
        <x:f>D12</x:f>
        <x:v>61567.450000000004</x:v>
      </x:c>
    </x:row>
    <x:row r="19">
      <x:c r="M19" t="str">
        <x:v>Small Cap</x:v>
      </x:c>
      <x:c r="N19" t="n">
        <x:f>C13</x:f>
        <x:v>67892.34</x:v>
      </x:c>
      <x:c r="O19" t="n">
        <x:f>D13</x:f>
        <x:v>84287.5</x:v>
      </x:c>
    </x:row>
  </x:sheetData>
  <x:pageMargins left="0.7" right="0.7" top="0.75" bottom="0.75" header="0.3" footer="0.3"/>
  <x:drawing xmlns:r="http://schemas.openxmlformats.org/officeDocument/2006/relationships" r:id="R590d4267f9584708"/>
</x:worksheet>
</file>

<file path=xl/worksheets/sheet2.xml><?xml version="1.0" encoding="utf-8"?>
<x:worksheet xmlns:x="http://schemas.openxmlformats.org/spreadsheetml/2006/main">
  <x:sheetFormatPr defaultRowHeight="15"/>
  <x:cols>
    <x:col min="1" max="1" width="77.79000091552734" hidden="0" customWidth="1"/>
    <x:col min="2" max="2" width="4.849999904632568" hidden="0" customWidth="1"/>
    <x:col min="3" max="3" width="14" hidden="0" customWidth="1"/>
    <x:col min="4" max="4" width="11.170000076293945" hidden="0" customWidth="1"/>
    <x:col min="5" max="5" width="9.6899995803833" hidden="0" customWidth="1"/>
    <x:col min="6" max="6" width="7.400000095367432" hidden="0" customWidth="1"/>
    <x:col min="7" max="7" width="15.479999542236328" hidden="0" customWidth="1"/>
  </x:cols>
  <x:sheetData>
    <x:row r="1">
      <x:c r="A1" s="106" t="str">
        <x:v>Portfolio Holdings</x:v>
      </x:c>
      <x:c r="B1" s="106"/>
      <x:c r="C1" s="106"/>
      <x:c r="D1" s="106"/>
      <x:c r="E1" s="106"/>
      <x:c r="F1" s="106"/>
      <x:c r="G1" s="106"/>
    </x:row>
    <x:row r="2">
      <x:c r="A2" s="3" t="str">
        <x:v>Detailed stock view with count, invested amount, current value, profit / loss, return, and market-cap bucket.</x:v>
      </x:c>
      <x:c r="B2" s="3"/>
      <x:c r="C2" s="3"/>
      <x:c r="D2" s="3"/>
      <x:c r="E2" s="3"/>
      <x:c r="F2" s="3"/>
      <x:c r="G2" s="3"/>
    </x:row>
    <x:row r="4">
      <x:c r="A4" s="41" t="str">
        <x:v>Stock Name</x:v>
      </x:c>
      <x:c r="B4" s="42" t="str">
        <x:v>Count</x:v>
      </x:c>
      <x:c r="C4" s="42" t="str">
        <x:v>Invested Amount</x:v>
      </x:c>
      <x:c r="D4" s="42" t="str">
        <x:v>Current Value</x:v>
      </x:c>
      <x:c r="E4" s="42" t="str">
        <x:v>Profit / Loss</x:v>
      </x:c>
      <x:c r="F4" s="42" t="str">
        <x:v>Return %</x:v>
      </x:c>
      <x:c r="G4" s="43" t="str">
        <x:v>Market Cap Bucket</x:v>
      </x:c>
    </x:row>
    <x:row r="5">
      <x:c r="A5" s="125" t="str">
        <x:v>Polycab India</x:v>
      </x:c>
      <x:c r="B5" s="139" t="n">
        <x:v>6</x:v>
      </x:c>
      <x:c r="C5" s="143" t="n">
        <x:v>43180.08</x:v>
      </x:c>
      <x:c r="D5" s="143" t="n">
        <x:v>48891</x:v>
      </x:c>
      <x:c r="E5" s="147" t="n">
        <x:f>D5-C5</x:f>
        <x:v>5710.919999999998</x:v>
      </x:c>
      <x:c r="F5" s="151" t="n">
        <x:f>IF(C5=0,0,E5/C5)</x:f>
        <x:v>0.13225820795144422</x:v>
      </x:c>
      <x:c r="G5" s="127" t="str">
        <x:v>Large Cap</x:v>
      </x:c>
    </x:row>
    <x:row r="6">
      <x:c r="A6" s="128" t="str">
        <x:v>Garden Reach</x:v>
      </x:c>
      <x:c r="B6" s="140" t="n">
        <x:v>12</x:v>
      </x:c>
      <x:c r="C6" s="144" t="n">
        <x:v>27479.64</x:v>
      </x:c>
      <x:c r="D6" s="144" t="n">
        <x:v>36872.4</x:v>
      </x:c>
      <x:c r="E6" s="148" t="n">
        <x:f>D6-C6</x:f>
        <x:v>9392.760000000002</x:v>
      </x:c>
      <x:c r="F6" s="152" t="n">
        <x:f>IF(C6=0,0,E6/C6)</x:f>
        <x:v>0.3418079712834667</x:v>
      </x:c>
      <x:c r="G6" s="130" t="str">
        <x:v>Small Cap</x:v>
      </x:c>
    </x:row>
    <x:row r="7">
      <x:c r="A7" s="128" t="str">
        <x:v>BSE</x:v>
      </x:c>
      <x:c r="B7" s="140" t="n">
        <x:v>10</x:v>
      </x:c>
      <x:c r="C7" s="144" t="n">
        <x:v>29252.7</x:v>
      </x:c>
      <x:c r="D7" s="144" t="n">
        <x:v>36357</x:v>
      </x:c>
      <x:c r="E7" s="148" t="n">
        <x:f>D7-C7</x:f>
        <x:v>7104.299999999999</x:v>
      </x:c>
      <x:c r="F7" s="152" t="n">
        <x:f>IF(C7=0,0,E7/C7)</x:f>
        <x:v>0.24285963346973097</x:v>
      </x:c>
      <x:c r="G7" s="130" t="str">
        <x:v>Large Cap</x:v>
      </x:c>
    </x:row>
    <x:row r="8">
      <x:c r="A8" s="128" t="str">
        <x:v>Bharat Electronics</x:v>
      </x:c>
      <x:c r="B8" s="140" t="n">
        <x:v>66</x:v>
      </x:c>
      <x:c r="C8" s="144" t="n">
        <x:v>28258.56</x:v>
      </x:c>
      <x:c r="D8" s="144" t="n">
        <x:v>28878.3</x:v>
      </x:c>
      <x:c r="E8" s="148" t="n">
        <x:f>D8-C8</x:f>
        <x:v>619.739999999998</x:v>
      </x:c>
      <x:c r="F8" s="152" t="n">
        <x:f>IF(C8=0,0,E8/C8)</x:f>
        <x:v>0.02193105381165912</x:v>
      </x:c>
      <x:c r="G8" s="130" t="str">
        <x:v>Large Cap</x:v>
      </x:c>
    </x:row>
    <x:row r="9">
      <x:c r="A9" s="128" t="str">
        <x:v>Coal India</x:v>
      </x:c>
      <x:c r="B9" s="140" t="n">
        <x:v>52</x:v>
      </x:c>
      <x:c r="C9" s="144" t="n">
        <x:v>22999.08</x:v>
      </x:c>
      <x:c r="D9" s="144" t="n">
        <x:v>24954.8</x:v>
      </x:c>
      <x:c r="E9" s="148" t="n">
        <x:f>D9-C9</x:f>
        <x:v>1955.7199999999975</x:v>
      </x:c>
      <x:c r="F9" s="152" t="n">
        <x:f>IF(C9=0,0,E9/C9)</x:f>
        <x:v>0.08503470573605541</x:v>
      </x:c>
      <x:c r="G9" s="130" t="str">
        <x:v>Large Cap</x:v>
      </x:c>
    </x:row>
    <x:row r="10">
      <x:c r="A10" s="128" t="str">
        <x:v>Waaree Energies</x:v>
      </x:c>
      <x:c r="B10" s="140" t="n">
        <x:v>7</x:v>
      </x:c>
      <x:c r="C10" s="144" t="n">
        <x:v>22078.91</x:v>
      </x:c>
      <x:c r="D10" s="144" t="n">
        <x:v>24520.3</x:v>
      </x:c>
      <x:c r="E10" s="148" t="n">
        <x:f>D10-C10</x:f>
        <x:v>2441.3899999999994</x:v>
      </x:c>
      <x:c r="F10" s="152" t="n">
        <x:f>IF(C10=0,0,E10/C10)</x:f>
        <x:v>0.11057565794688232</x:v>
      </x:c>
      <x:c r="G10" s="130" t="str">
        <x:v>Mid Cap</x:v>
      </x:c>
    </x:row>
    <x:row r="11">
      <x:c r="A11" s="128" t="str">
        <x:v>Dixon Technologies</x:v>
      </x:c>
      <x:c r="B11" s="140" t="n">
        <x:v>2</x:v>
      </x:c>
      <x:c r="C11" s="144" t="n">
        <x:v>21179</x:v>
      </x:c>
      <x:c r="D11" s="144" t="n">
        <x:v>22650</x:v>
      </x:c>
      <x:c r="E11" s="148" t="n">
        <x:f>D11-C11</x:f>
        <x:v>1471</x:v>
      </x:c>
      <x:c r="F11" s="152" t="n">
        <x:f>IF(C11=0,0,E11/C11)</x:f>
        <x:v>0.06945559280419283</x:v>
      </x:c>
      <x:c r="G11" s="130" t="str">
        <x:v>Mid Cap</x:v>
      </x:c>
    </x:row>
    <x:row r="12">
      <x:c r="A12" s="128" t="str">
        <x:v>Tata Motors Commercial</x:v>
      </x:c>
      <x:c r="B12" s="140" t="n">
        <x:v>45</x:v>
      </x:c>
      <x:c r="C12" s="144" t="n">
        <x:v>19699.65</x:v>
      </x:c>
      <x:c r="D12" s="144" t="n">
        <x:v>18762.75</x:v>
      </x:c>
      <x:c r="E12" s="148" t="n">
        <x:f>D12-C12</x:f>
        <x:v>-936.9000000000015</x:v>
      </x:c>
      <x:c r="F12" s="152" t="n">
        <x:f>IF(C12=0,0,E12/C12)</x:f>
        <x:v>-0.04755922059528984</x:v>
      </x:c>
      <x:c r="G12" s="130" t="str">
        <x:v>Large Cap</x:v>
      </x:c>
    </x:row>
    <x:row r="13">
      <x:c r="A13" s="128" t="str">
        <x:v>Tata Motors Passenger</x:v>
      </x:c>
      <x:c r="B13" s="140" t="n">
        <x:v>45</x:v>
      </x:c>
      <x:c r="C13" s="144" t="n">
        <x:v>15234.75</x:v>
      </x:c>
      <x:c r="D13" s="144" t="n">
        <x:v>15871.5</x:v>
      </x:c>
      <x:c r="E13" s="148" t="n">
        <x:f>D13-C13</x:f>
        <x:v>636.75</x:v>
      </x:c>
      <x:c r="F13" s="152" t="n">
        <x:f>IF(C13=0,0,E13/C13)</x:f>
        <x:v>0.04179589425491065</x:v>
      </x:c>
      <x:c r="G13" s="130" t="str">
        <x:v>Large Cap</x:v>
      </x:c>
    </x:row>
    <x:row r="14">
      <x:c r="A14" s="128" t="str">
        <x:v>Transrail Lighting</x:v>
      </x:c>
      <x:c r="B14" s="140" t="n">
        <x:v>25</x:v>
      </x:c>
      <x:c r="C14" s="144" t="n">
        <x:v>12717.5</x:v>
      </x:c>
      <x:c r="D14" s="144" t="n">
        <x:v>15210</x:v>
      </x:c>
      <x:c r="E14" s="148" t="n">
        <x:f>D14-C14</x:f>
        <x:v>2492.5</x:v>
      </x:c>
      <x:c r="F14" s="152" t="n">
        <x:f>IF(C14=0,0,E14/C14)</x:f>
        <x:v>0.19598977786514646</x:v>
      </x:c>
      <x:c r="G14" s="130" t="str">
        <x:v>Small Cap</x:v>
      </x:c>
    </x:row>
    <x:row r="15">
      <x:c r="A15" s="128" t="str">
        <x:v>CG Power &amp; Inds</x:v>
      </x:c>
      <x:c r="B15" s="140" t="n">
        <x:v>18</x:v>
      </x:c>
      <x:c r="C15" s="144" t="n">
        <x:v>12491.64</x:v>
      </x:c>
      <x:c r="D15" s="144" t="n">
        <x:v>14860.8</x:v>
      </x:c>
      <x:c r="E15" s="148" t="n">
        <x:f>D15-C15</x:f>
        <x:v>2369.16</x:v>
      </x:c>
      <x:c r="F15" s="152" t="n">
        <x:f>IF(C15=0,0,E15/C15)</x:f>
        <x:v>0.18965964437015476</x:v>
      </x:c>
      <x:c r="G15" s="130" t="str">
        <x:v>Large Cap</x:v>
      </x:c>
    </x:row>
    <x:row r="16">
      <x:c r="A16" s="128" t="str">
        <x:v>IRCTC</x:v>
      </x:c>
      <x:c r="B16" s="140" t="n">
        <x:v>25</x:v>
      </x:c>
      <x:c r="C16" s="144" t="n">
        <x:v>13159.75</x:v>
      </x:c>
      <x:c r="D16" s="144" t="n">
        <x:v>13752.5</x:v>
      </x:c>
      <x:c r="E16" s="148" t="n">
        <x:f>D16-C16</x:f>
        <x:v>592.75</x:v>
      </x:c>
      <x:c r="F16" s="152" t="n">
        <x:f>IF(C16=0,0,E16/C16)</x:f>
        <x:v>0.045042648986492906</x:v>
      </x:c>
      <x:c r="G16" s="130" t="str">
        <x:v>Mid Cap</x:v>
      </x:c>
    </x:row>
    <x:row r="17">
      <x:c r="A17" s="128" t="str">
        <x:v>TATAGOLD</x:v>
      </x:c>
      <x:c r="B17" s="140" t="n">
        <x:v>940</x:v>
      </x:c>
      <x:c r="C17" s="144" t="n">
        <x:v>14551.2</x:v>
      </x:c>
      <x:c r="D17" s="144" t="n">
        <x:v>13413.8</x:v>
      </x:c>
      <x:c r="E17" s="148" t="n">
        <x:f>D17-C17</x:f>
        <x:v>-1137.4000000000015</x:v>
      </x:c>
      <x:c r="F17" s="152" t="n">
        <x:f>IF(C17=0,0,E17/C17)</x:f>
        <x:v>-0.07816537467700269</x:v>
      </x:c>
      <x:c r="G17" s="130" t="str">
        <x:v>Other</x:v>
      </x:c>
    </x:row>
    <x:row r="18">
      <x:c r="A18" s="128" t="str">
        <x:v>Balu Forge Inds</x:v>
      </x:c>
      <x:c r="B18" s="140" t="n">
        <x:v>25</x:v>
      </x:c>
      <x:c r="C18" s="144" t="n">
        <x:v>10940.25</x:v>
      </x:c>
      <x:c r="D18" s="144" t="n">
        <x:v>12835</x:v>
      </x:c>
      <x:c r="E18" s="148" t="n">
        <x:f>D18-C18</x:f>
        <x:v>1894.75</x:v>
      </x:c>
      <x:c r="F18" s="152" t="n">
        <x:f>IF(C18=0,0,E18/C18)</x:f>
        <x:v>0.17319074061378853</x:v>
      </x:c>
      <x:c r="G18" s="130" t="str">
        <x:v>Small Cap</x:v>
      </x:c>
    </x:row>
    <x:row r="19">
      <x:c r="A19" s="128" t="str">
        <x:v>Anant Raj</x:v>
      </x:c>
      <x:c r="B19" s="140" t="n">
        <x:v>25</x:v>
      </x:c>
      <x:c r="C19" s="144" t="n">
        <x:v>11607.75</x:v>
      </x:c>
      <x:c r="D19" s="144" t="n">
        <x:v>12272.5</x:v>
      </x:c>
      <x:c r="E19" s="148" t="n">
        <x:f>D19-C19</x:f>
        <x:v>664.75</x:v>
      </x:c>
      <x:c r="F19" s="152" t="n">
        <x:f>IF(C19=0,0,E19/C19)</x:f>
        <x:v>0.057267773685684135</x:v>
      </x:c>
      <x:c r="G19" s="130" t="str">
        <x:v>Small Cap</x:v>
      </x:c>
    </x:row>
    <x:row r="20">
      <x:c r="A20" s="128" t="str">
        <x:v>GAIL (India)</x:v>
      </x:c>
      <x:c r="B20" s="140" t="n">
        <x:v>59</x:v>
      </x:c>
      <x:c r="C20" s="144" t="n">
        <x:v>8319.59</x:v>
      </x:c>
      <x:c r="D20" s="144" t="n">
        <x:v>9773.94</x:v>
      </x:c>
      <x:c r="E20" s="148" t="n">
        <x:f>D20-C20</x:f>
        <x:v>1454.3500000000004</x:v>
      </x:c>
      <x:c r="F20" s="152" t="n">
        <x:f>IF(C20=0,0,E20/C20)</x:f>
        <x:v>0.1748102971420467</x:v>
      </x:c>
      <x:c r="G20" s="130" t="str">
        <x:v>Large Cap</x:v>
      </x:c>
    </x:row>
    <x:row r="21">
      <x:c r="A21" s="128" t="str">
        <x:v>Vidya Wires</x:v>
      </x:c>
      <x:c r="B21" s="140" t="n">
        <x:v>80</x:v>
      </x:c>
      <x:c r="C21" s="144" t="n">
        <x:v>5147.2</x:v>
      </x:c>
      <x:c r="D21" s="144" t="n">
        <x:v>7097.6</x:v>
      </x:c>
      <x:c r="E21" s="148" t="n">
        <x:f>D21-C21</x:f>
        <x:v>1950.4000000000005</x:v>
      </x:c>
      <x:c r="F21" s="152" t="n">
        <x:f>IF(C21=0,0,E21/C21)</x:f>
        <x:v>0.37892446378613626</x:v>
      </x:c>
      <x:c r="G21" s="130" t="str">
        <x:v>Small Cap</x:v>
      </x:c>
    </x:row>
    <x:row r="22">
      <x:c r="A22" s="131" t="str">
        <x:v>Indian Hotel</x:v>
      </x:c>
      <x:c r="B22" s="141" t="n">
        <x:v>1</x:v>
      </x:c>
      <x:c r="C22" s="145" t="n">
        <x:v>610.6</x:v>
      </x:c>
      <x:c r="D22" s="145" t="n">
        <x:v>644.65</x:v>
      </x:c>
      <x:c r="E22" s="149" t="n">
        <x:f>D22-C22</x:f>
        <x:v>34.049999999999955</x:v>
      </x:c>
      <x:c r="F22" s="153" t="n">
        <x:f>IF(C22=0,0,E22/C22)</x:f>
        <x:v>0.05576482148706183</x:v>
      </x:c>
      <x:c r="G22" s="133" t="str">
        <x:v>Mid Cap</x:v>
      </x:c>
    </x:row>
    <x:row r="23">
      <x:c r="A23" s="136" t="str">
        <x:v>Whole Portfolio Total</x:v>
      </x:c>
      <x:c r="B23" s="142" t="n">
        <x:f>SUM(B5:B22)</x:f>
        <x:v>1443</x:v>
      </x:c>
      <x:c r="C23" s="146" t="n">
        <x:f>SUM(C5:C22)</x:f>
        <x:v>318907.85000000003</x:v>
      </x:c>
      <x:c r="D23" s="146" t="n">
        <x:f>SUM(D5:D22)</x:f>
        <x:v>357618.8399999999</x:v>
      </x:c>
      <x:c r="E23" s="150" t="n">
        <x:f>SUM(E5:E22)</x:f>
        <x:v>38710.99</x:v>
      </x:c>
      <x:c r="F23" s="154" t="n">
        <x:f>IF(C23=0,0,E23/C23)</x:f>
        <x:v>0.12138613082117607</x:v>
      </x:c>
      <x:c r="G23" s="138" t="str">
        <x:v>All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.049999237060547" hidden="0" customWidth="1"/>
    <x:col min="2" max="2" width="37.279998779296875" hidden="0" customWidth="1"/>
    <x:col min="3" max="3" width="38.7599983215332" hidden="0" customWidth="1"/>
    <x:col min="4" max="4" width="37.81999969482422" hidden="0" customWidth="1"/>
    <x:col min="5" max="5" width="20.31999969482422" hidden="0" customWidth="1"/>
  </x:cols>
  <x:sheetData>
    <x:row r="1">
      <x:c r="A1" s="106" t="str">
        <x:v>Bucket Assumptions</x:v>
      </x:c>
      <x:c r="B1" s="106"/>
      <x:c r="C1" s="106"/>
      <x:c r="D1" s="106"/>
      <x:c r="E1" s="106"/>
    </x:row>
    <x:row r="2" ht="15" hidden="0" customHeight="1">
      <x:c r="A2" s="162" t="str">
        <x:v>Framework</x:v>
      </x:c>
      <x:c r="B2" s="163" t="str">
        <x:v>AMFI / SEBI large-cap, mid-cap, small-cap approach</x:v>
      </x:c>
      <x:c r="C2" s="163"/>
      <x:c r="D2" s="163"/>
      <x:c r="E2" s="164"/>
    </x:row>
    <x:row r="3" ht="15" hidden="0" customHeight="1">
      <x:c r="A3" s="165" t="str">
        <x:v>Reference Date</x:v>
      </x:c>
      <x:c r="B3" s="166" t="str">
        <x:v>2026-04-30</x:v>
      </x:c>
      <x:c r="C3" s="166" t="str">
        <x:v>TATAGOLD is treated as Other because it is a gold ETF.</x:v>
      </x:c>
      <x:c r="D3" s="166"/>
      <x:c r="E3" s="167"/>
    </x:row>
    <x:row r="4"/>
    <x:row r="5" ht="15" hidden="0" customHeight="1">
      <x:c r="A5" s="41" t="str">
        <x:v>Stock</x:v>
      </x:c>
      <x:c r="B5" s="42" t="str">
        <x:v>Bucket</x:v>
      </x:c>
      <x:c r="C5" s="42" t="str">
        <x:v>Market Cap (Rs Cr)</x:v>
      </x:c>
      <x:c r="D5" s="42" t="str">
        <x:v>Reason / Mapping</x:v>
      </x:c>
      <x:c r="E5" s="43" t="str">
        <x:v>Included in Equity Charts</x:v>
      </x:c>
    </x:row>
    <x:row r="6" ht="15" hidden="0" customHeight="1">
      <x:c r="A6" s="186" t="str">
        <x:v>Polycab India</x:v>
      </x:c>
      <x:c r="B6" s="187" t="str">
        <x:v>Large Cap</x:v>
      </x:c>
      <x:c r="C6" s="195" t="n">
        <x:v>117312</x:v>
      </x:c>
      <x:c r="D6" s="187" t="str">
        <x:v>Current bucket inferred from April 2026 market cap.</x:v>
      </x:c>
      <x:c r="E6" s="188" t="str">
        <x:v>Yes</x:v>
      </x:c>
    </x:row>
    <x:row r="7" ht="15" hidden="0" customHeight="1">
      <x:c r="A7" s="189" t="str">
        <x:v>Garden Reach</x:v>
      </x:c>
      <x:c r="B7" s="190" t="str">
        <x:v>Small Cap</x:v>
      </x:c>
      <x:c r="C7" s="196" t="n">
        <x:v>29393</x:v>
      </x:c>
      <x:c r="D7" s="190" t="str">
        <x:v>Mapped to Garden Reach Shipbuilders &amp; Engineers.</x:v>
      </x:c>
      <x:c r="E7" s="191" t="str">
        <x:v>Yes</x:v>
      </x:c>
    </x:row>
    <x:row r="8" ht="15" hidden="0" customHeight="1">
      <x:c r="A8" s="189" t="str">
        <x:v>BSE</x:v>
      </x:c>
      <x:c r="B8" s="190" t="str">
        <x:v>Large Cap</x:v>
      </x:c>
      <x:c r="C8" s="196" t="n">
        <x:v>138103</x:v>
      </x:c>
      <x:c r="D8" s="190" t="str">
        <x:v>Current bucket inferred from April 2026 market cap.</x:v>
      </x:c>
      <x:c r="E8" s="191" t="str">
        <x:v>Yes</x:v>
      </x:c>
    </x:row>
    <x:row r="9" ht="15" hidden="0" customHeight="1">
      <x:c r="A9" s="189" t="str">
        <x:v>Bharat Electronics</x:v>
      </x:c>
      <x:c r="B9" s="190" t="str">
        <x:v>Large Cap</x:v>
      </x:c>
      <x:c r="C9" s="196" t="n">
        <x:v>327185</x:v>
      </x:c>
      <x:c r="D9" s="190" t="str">
        <x:v>Current bucket inferred from April 2026 market cap.</x:v>
      </x:c>
      <x:c r="E9" s="191" t="str">
        <x:v>Yes</x:v>
      </x:c>
    </x:row>
    <x:row r="10" ht="15" hidden="0" customHeight="1">
      <x:c r="A10" s="189" t="str">
        <x:v>Coal India</x:v>
      </x:c>
      <x:c r="B10" s="190" t="str">
        <x:v>Large Cap</x:v>
      </x:c>
      <x:c r="C10" s="196" t="n">
        <x:v>268572</x:v>
      </x:c>
      <x:c r="D10" s="190" t="str">
        <x:v>Current bucket inferred from April 2026 market cap.</x:v>
      </x:c>
      <x:c r="E10" s="191" t="str">
        <x:v>Yes</x:v>
      </x:c>
    </x:row>
    <x:row r="11" ht="15" hidden="0" customHeight="1">
      <x:c r="A11" s="189" t="str">
        <x:v>Waaree Energies</x:v>
      </x:c>
      <x:c r="B11" s="190" t="str">
        <x:v>Mid Cap</x:v>
      </x:c>
      <x:c r="C11" s="196" t="n">
        <x:v>98552</x:v>
      </x:c>
      <x:c r="D11" s="190" t="str">
        <x:v>Current bucket inferred from April 2026 market cap.</x:v>
      </x:c>
      <x:c r="E11" s="191" t="str">
        <x:v>Yes</x:v>
      </x:c>
    </x:row>
    <x:row r="12" ht="15" hidden="0" customHeight="1">
      <x:c r="A12" s="189" t="str">
        <x:v>Dixon Technologies</x:v>
      </x:c>
      <x:c r="B12" s="190" t="str">
        <x:v>Mid Cap</x:v>
      </x:c>
      <x:c r="C12" s="196" t="n">
        <x:v>67284</x:v>
      </x:c>
      <x:c r="D12" s="190" t="str">
        <x:v>Current bucket inferred from April 2026 market cap.</x:v>
      </x:c>
      <x:c r="E12" s="191" t="str">
        <x:v>Yes</x:v>
      </x:c>
    </x:row>
    <x:row r="13" ht="15" hidden="0" customHeight="1">
      <x:c r="A13" s="189" t="str">
        <x:v>Tata Motors Commercial</x:v>
      </x:c>
      <x:c r="B13" s="190" t="str">
        <x:v>Large Cap</x:v>
      </x:c>
      <x:c r="C13" s="196" t="n">
        <x:v>160367</x:v>
      </x:c>
      <x:c r="D13" s="190" t="str">
        <x:v>Mapped to Tata Motors group listing for cap bucket.</x:v>
      </x:c>
      <x:c r="E13" s="191" t="str">
        <x:v>Yes</x:v>
      </x:c>
    </x:row>
    <x:row r="14" ht="15" hidden="0" customHeight="1">
      <x:c r="A14" s="189" t="str">
        <x:v>Tata Motors Passenger</x:v>
      </x:c>
      <x:c r="B14" s="190" t="str">
        <x:v>Large Cap</x:v>
      </x:c>
      <x:c r="C14" s="196" t="n">
        <x:v>160367</x:v>
      </x:c>
      <x:c r="D14" s="190" t="str">
        <x:v>Mapped to Tata Motors group listing for cap bucket.</x:v>
      </x:c>
      <x:c r="E14" s="191" t="str">
        <x:v>Yes</x:v>
      </x:c>
    </x:row>
    <x:row r="15" ht="15" hidden="0" customHeight="1">
      <x:c r="A15" s="189" t="str">
        <x:v>Transrail Lighting</x:v>
      </x:c>
      <x:c r="B15" s="190" t="str">
        <x:v>Small Cap</x:v>
      </x:c>
      <x:c r="C15" s="196" t="n">
        <x:v>8216</x:v>
      </x:c>
      <x:c r="D15" s="190" t="str">
        <x:v>Current bucket inferred from April 2026 market cap.</x:v>
      </x:c>
      <x:c r="E15" s="191" t="str">
        <x:v>Yes</x:v>
      </x:c>
    </x:row>
    <x:row r="16" ht="15" hidden="0" customHeight="1">
      <x:c r="A16" s="189" t="str">
        <x:v>CG Power &amp; Inds</x:v>
      </x:c>
      <x:c r="B16" s="190" t="str">
        <x:v>Large Cap</x:v>
      </x:c>
      <x:c r="C16" s="196" t="n">
        <x:v>117886</x:v>
      </x:c>
      <x:c r="D16" s="190" t="str">
        <x:v>Mapped to CG Power &amp; Industrial Solutions.</x:v>
      </x:c>
      <x:c r="E16" s="191" t="str">
        <x:v>Yes</x:v>
      </x:c>
    </x:row>
    <x:row r="17" ht="15" hidden="0" customHeight="1">
      <x:c r="A17" s="189" t="str">
        <x:v>IRCTC</x:v>
      </x:c>
      <x:c r="B17" s="190" t="str">
        <x:v>Mid Cap</x:v>
      </x:c>
      <x:c r="C17" s="196" t="n">
        <x:v>44288</x:v>
      </x:c>
      <x:c r="D17" s="190" t="str">
        <x:v>Current bucket inferred from April 2026 market cap.</x:v>
      </x:c>
      <x:c r="E17" s="191" t="str">
        <x:v>Yes</x:v>
      </x:c>
    </x:row>
    <x:row r="18" ht="15" hidden="0" customHeight="1">
      <x:c r="A18" s="189" t="str">
        <x:v>TATAGOLD</x:v>
      </x:c>
      <x:c r="B18" s="190" t="str">
        <x:v>Other</x:v>
      </x:c>
      <x:c r="C18" s="196"/>
      <x:c r="D18" s="190" t="str">
        <x:v>Gold ETF; excluded from equity cap charts.</x:v>
      </x:c>
      <x:c r="E18" s="191" t="str">
        <x:v>No</x:v>
      </x:c>
    </x:row>
    <x:row r="19" ht="15" hidden="0" customHeight="1">
      <x:c r="A19" s="189" t="str">
        <x:v>Balu Forge Inds</x:v>
      </x:c>
      <x:c r="B19" s="190" t="str">
        <x:v>Small Cap</x:v>
      </x:c>
      <x:c r="C19" s="196" t="n">
        <x:v>5897</x:v>
      </x:c>
      <x:c r="D19" s="190" t="str">
        <x:v>Mapped to Balu Forge Industries.</x:v>
      </x:c>
      <x:c r="E19" s="191" t="str">
        <x:v>Yes</x:v>
      </x:c>
    </x:row>
    <x:row r="20" ht="15" hidden="0" customHeight="1">
      <x:c r="A20" s="189" t="str">
        <x:v>Anant Raj</x:v>
      </x:c>
      <x:c r="B20" s="190" t="str">
        <x:v>Small Cap</x:v>
      </x:c>
      <x:c r="C20" s="196" t="n">
        <x:v>18123</x:v>
      </x:c>
      <x:c r="D20" s="190" t="str">
        <x:v>Current bucket inferred from April 2026 market cap.</x:v>
      </x:c>
      <x:c r="E20" s="191" t="str">
        <x:v>Yes</x:v>
      </x:c>
    </x:row>
    <x:row r="21" ht="15" hidden="0" customHeight="1">
      <x:c r="A21" s="189" t="str">
        <x:v>GAIL (India)</x:v>
      </x:c>
      <x:c r="B21" s="190" t="str">
        <x:v>Large Cap</x:v>
      </x:c>
      <x:c r="C21" s="196" t="n">
        <x:v>108982</x:v>
      </x:c>
      <x:c r="D21" s="190" t="str">
        <x:v>Current bucket inferred from April 2026 market cap.</x:v>
      </x:c>
      <x:c r="E21" s="191" t="str">
        <x:v>Yes</x:v>
      </x:c>
    </x:row>
    <x:row r="22" ht="15" hidden="0" customHeight="1">
      <x:c r="A22" s="189" t="str">
        <x:v>Vidya Wires</x:v>
      </x:c>
      <x:c r="B22" s="190" t="str">
        <x:v>Small Cap</x:v>
      </x:c>
      <x:c r="C22" s="196" t="n">
        <x:v>1450</x:v>
      </x:c>
      <x:c r="D22" s="190" t="str">
        <x:v>Current bucket inferred from April 2026 market cap.</x:v>
      </x:c>
      <x:c r="E22" s="191" t="str">
        <x:v>Yes</x:v>
      </x:c>
    </x:row>
    <x:row r="23" ht="15" hidden="0" customHeight="1">
      <x:c r="A23" s="192" t="str">
        <x:v>Indian Hotel</x:v>
      </x:c>
      <x:c r="B23" s="193" t="str">
        <x:v>Mid Cap</x:v>
      </x:c>
      <x:c r="C23" s="197" t="n">
        <x:v>91313</x:v>
      </x:c>
      <x:c r="D23" s="193" t="str">
        <x:v>Mapped to Indian Hotels Co.</x:v>
      </x:c>
      <x:c r="E23" s="194" t="str">
        <x:v>Yes</x:v>
      </x:c>
    </x:row>
  </x:sheetData>
  <x:pageMargins left="0.7" right="0.7" top="0.75" bottom="0.75" header="0.3" footer="0.3"/>
</x:worksheet>
</file>