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320219651\spring-rag-app\outputs\portfolio-tracker-20260430\"/>
    </mc:Choice>
  </mc:AlternateContent>
  <xr:revisionPtr revIDLastSave="0" documentId="13_ncr:1_{211284B6-E443-4C3C-9044-AA4AB9780EC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ortfol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D27" i="1"/>
  <c r="C27" i="1"/>
  <c r="B27" i="1"/>
  <c r="E26" i="1"/>
  <c r="F26" i="1" s="1"/>
  <c r="F25" i="1"/>
  <c r="E25" i="1"/>
  <c r="E24" i="1"/>
  <c r="F24" i="1" s="1"/>
  <c r="E23" i="1"/>
  <c r="F23" i="1" s="1"/>
  <c r="F22" i="1"/>
  <c r="E22" i="1"/>
  <c r="F21" i="1"/>
  <c r="E21" i="1"/>
  <c r="E20" i="1"/>
  <c r="F20" i="1" s="1"/>
  <c r="E19" i="1"/>
  <c r="F19" i="1" s="1"/>
  <c r="F18" i="1"/>
  <c r="E18" i="1"/>
  <c r="F17" i="1"/>
  <c r="E17" i="1"/>
  <c r="E16" i="1"/>
  <c r="F16" i="1" s="1"/>
  <c r="E15" i="1"/>
  <c r="F15" i="1" s="1"/>
  <c r="F14" i="1"/>
  <c r="E14" i="1"/>
  <c r="F13" i="1"/>
  <c r="E13" i="1"/>
  <c r="E12" i="1"/>
  <c r="F12" i="1" s="1"/>
  <c r="E11" i="1"/>
  <c r="E27" i="1" s="1"/>
  <c r="F10" i="1"/>
  <c r="E10" i="1"/>
  <c r="F9" i="1"/>
  <c r="E9" i="1"/>
  <c r="F5" i="1"/>
  <c r="D4" i="1"/>
  <c r="F27" i="1" l="1"/>
  <c r="F11" i="1"/>
  <c r="F4" i="1"/>
</calcChain>
</file>

<file path=xl/sharedStrings.xml><?xml version="1.0" encoding="utf-8"?>
<sst xmlns="http://schemas.openxmlformats.org/spreadsheetml/2006/main" count="34" uniqueCount="34">
  <si>
    <t>Stock Portfolio Tracker</t>
  </si>
  <si>
    <t>Built from the holdings visible in the provided screenshots.</t>
  </si>
  <si>
    <t>Total Invested</t>
  </si>
  <si>
    <t>Current Value</t>
  </si>
  <si>
    <t>Total Profit / Loss</t>
  </si>
  <si>
    <t>Number of Holdings</t>
  </si>
  <si>
    <t>As of</t>
  </si>
  <si>
    <t>2026-04-30</t>
  </si>
  <si>
    <t>Total Shares</t>
  </si>
  <si>
    <t>Stock Name</t>
  </si>
  <si>
    <t>Count</t>
  </si>
  <si>
    <t>Invested Amount</t>
  </si>
  <si>
    <t>Current Total Value</t>
  </si>
  <si>
    <t>Profit / Loss</t>
  </si>
  <si>
    <t>Return %</t>
  </si>
  <si>
    <t>Polycab India</t>
  </si>
  <si>
    <t>Garden Reach</t>
  </si>
  <si>
    <t>BSE</t>
  </si>
  <si>
    <t>Bharat Electronics</t>
  </si>
  <si>
    <t>Coal India</t>
  </si>
  <si>
    <t>Waaree Energies</t>
  </si>
  <si>
    <t>Dixon Technologies</t>
  </si>
  <si>
    <t>Tata Motors Commercial</t>
  </si>
  <si>
    <t>Tata Motors Passenger</t>
  </si>
  <si>
    <t>Transrail Lighting</t>
  </si>
  <si>
    <t>CG Power &amp; Inds</t>
  </si>
  <si>
    <t>IRCTC</t>
  </si>
  <si>
    <t>TATAGOLD</t>
  </si>
  <si>
    <t>Balu Forge Inds</t>
  </si>
  <si>
    <t>Anant Raj</t>
  </si>
  <si>
    <t>GAIL (India)</t>
  </si>
  <si>
    <t>Vidya Wires</t>
  </si>
  <si>
    <t>Indian Hotel</t>
  </si>
  <si>
    <t>Whole Portfolio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</si>
</sst>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#,##0.00"/>
    <numFmt numFmtId="165" formatCode="[Green]&quot;₹&quot;#,##0.00;[Red]\-&quot;₹&quot;#,##0.00"/>
    <numFmt numFmtId="166" formatCode="[Green]0.00%;[Red]\-0.00%"/>
  </numFmts>
  <fonts count="6">
    <font>
      <sz val="11"/>
      <name val="Carlito"/>
    </font>
    <font>
      <b/>
      <sz val="16"/>
      <color theme="4"/>
      <name val="Calibri"/>
    </font>
    <font>
      <i/>
      <sz val="10"/>
      <color rgb="FF6B7280"/>
      <name val="Calibri"/>
    </font>
    <font>
      <b/>
      <sz val="11"/>
      <color theme="1"/>
      <name val="Calibri"/>
    </font>
    <font>
      <b/>
      <sz val="11"/>
      <color theme="0"/>
      <name val="Calibri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2"/>
      </patternFill>
    </fill>
    <fill>
      <patternFill patternType="solid">
        <fgColor theme="4"/>
      </patternFill>
    </fill>
    <fill>
      <patternFill patternType="solid">
        <fgColor theme="5"/>
      </patternFill>
    </fill>
  </fills>
  <borders count="21">
    <border>
      <left/>
      <right/>
      <top/>
      <bottom/>
      <diagonal/>
    </border>
    <border>
      <left style="thin">
        <color rgb="FFD1D5DB"/>
      </left>
      <right/>
      <top style="thin">
        <color rgb="FFD1D5DB"/>
      </top>
      <bottom/>
      <diagonal/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/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  <border>
      <left style="thin">
        <color rgb="FFE5E7EB"/>
      </left>
      <right/>
      <top style="thin">
        <color rgb="FFE5E7EB"/>
      </top>
      <bottom/>
      <diagonal/>
    </border>
    <border>
      <left/>
      <right/>
      <top style="thin">
        <color rgb="FFE5E7EB"/>
      </top>
      <bottom/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/>
      <bottom/>
      <diagonal/>
    </border>
    <border>
      <left/>
      <right style="thin">
        <color rgb="FFE5E7EB"/>
      </right>
      <top/>
      <bottom/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/>
      <top/>
      <bottom style="thin">
        <color rgb="FFE5E7EB"/>
      </bottom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thin">
        <color rgb="FF4B5563"/>
      </left>
      <right/>
      <top style="thin">
        <color rgb="FF4B5563"/>
      </top>
      <bottom style="thin">
        <color rgb="FF4B5563"/>
      </bottom>
      <diagonal/>
    </border>
    <border>
      <left/>
      <right/>
      <top style="thin">
        <color rgb="FF4B5563"/>
      </top>
      <bottom style="thin">
        <color rgb="FF4B5563"/>
      </bottom>
      <diagonal/>
    </border>
    <border>
      <left/>
      <right style="thin">
        <color rgb="FF4B5563"/>
      </right>
      <top style="thin">
        <color rgb="FF4B5563"/>
      </top>
      <bottom style="thin">
        <color rgb="FF4B5563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5" fillId="0" borderId="10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4" fillId="4" borderId="18" xfId="0" applyFont="1" applyFill="1" applyBorder="1" applyAlignment="1">
      <alignment vertical="center"/>
    </xf>
    <xf numFmtId="1" fontId="5" fillId="0" borderId="11" xfId="0" applyNumberFormat="1" applyFont="1" applyBorder="1" applyAlignment="1">
      <alignment vertical="center"/>
    </xf>
    <xf numFmtId="1" fontId="5" fillId="0" borderId="0" xfId="0" applyNumberFormat="1" applyFont="1" applyAlignment="1">
      <alignment vertical="center"/>
    </xf>
    <xf numFmtId="1" fontId="5" fillId="0" borderId="16" xfId="0" applyNumberFormat="1" applyFont="1" applyBorder="1" applyAlignment="1">
      <alignment vertical="center"/>
    </xf>
    <xf numFmtId="1" fontId="4" fillId="4" borderId="19" xfId="0" applyNumberFormat="1" applyFont="1" applyFill="1" applyBorder="1" applyAlignment="1">
      <alignment vertical="center"/>
    </xf>
    <xf numFmtId="164" fontId="5" fillId="0" borderId="11" xfId="0" applyNumberFormat="1" applyFont="1" applyBorder="1" applyAlignment="1">
      <alignment vertical="center"/>
    </xf>
    <xf numFmtId="164" fontId="5" fillId="0" borderId="0" xfId="0" applyNumberFormat="1" applyFont="1" applyAlignment="1">
      <alignment vertical="center"/>
    </xf>
    <xf numFmtId="164" fontId="5" fillId="0" borderId="16" xfId="0" applyNumberFormat="1" applyFont="1" applyBorder="1" applyAlignment="1">
      <alignment vertical="center"/>
    </xf>
    <xf numFmtId="164" fontId="4" fillId="4" borderId="19" xfId="0" applyNumberFormat="1" applyFont="1" applyFill="1" applyBorder="1" applyAlignment="1">
      <alignment vertical="center"/>
    </xf>
    <xf numFmtId="165" fontId="5" fillId="0" borderId="11" xfId="0" applyNumberFormat="1" applyFont="1" applyBorder="1" applyAlignment="1">
      <alignment vertical="center"/>
    </xf>
    <xf numFmtId="165" fontId="5" fillId="0" borderId="0" xfId="0" applyNumberFormat="1" applyFont="1" applyAlignment="1">
      <alignment vertical="center"/>
    </xf>
    <xf numFmtId="165" fontId="5" fillId="0" borderId="16" xfId="0" applyNumberFormat="1" applyFont="1" applyBorder="1" applyAlignment="1">
      <alignment vertical="center"/>
    </xf>
    <xf numFmtId="165" fontId="4" fillId="4" borderId="19" xfId="0" applyNumberFormat="1" applyFont="1" applyFill="1" applyBorder="1" applyAlignment="1">
      <alignment vertical="center"/>
    </xf>
    <xf numFmtId="166" fontId="5" fillId="0" borderId="12" xfId="0" applyNumberFormat="1" applyFont="1" applyBorder="1" applyAlignment="1">
      <alignment vertical="center"/>
    </xf>
    <xf numFmtId="166" fontId="5" fillId="0" borderId="14" xfId="0" applyNumberFormat="1" applyFont="1" applyBorder="1" applyAlignment="1">
      <alignment vertical="center"/>
    </xf>
    <xf numFmtId="166" fontId="5" fillId="0" borderId="17" xfId="0" applyNumberFormat="1" applyFont="1" applyBorder="1" applyAlignment="1">
      <alignment vertical="center"/>
    </xf>
    <xf numFmtId="166" fontId="4" fillId="4" borderId="20" xfId="0" applyNumberFormat="1" applyFont="1" applyFill="1" applyBorder="1" applyAlignment="1">
      <alignment vertical="center"/>
    </xf>
    <xf numFmtId="164" fontId="3" fillId="2" borderId="2" xfId="0" applyNumberFormat="1" applyFont="1" applyFill="1" applyBorder="1" applyAlignment="1">
      <alignment horizontal="center" vertical="center"/>
    </xf>
    <xf numFmtId="165" fontId="3" fillId="2" borderId="3" xfId="0" applyNumberFormat="1" applyFont="1" applyFill="1" applyBorder="1" applyAlignment="1">
      <alignment horizontal="center" vertical="center"/>
    </xf>
    <xf numFmtId="1" fontId="3" fillId="2" borderId="5" xfId="0" applyNumberFormat="1" applyFont="1" applyFill="1" applyBorder="1" applyAlignment="1">
      <alignment horizontal="center" vertical="center"/>
    </xf>
    <xf numFmtId="1" fontId="3" fillId="2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H9" sqref="H9"/>
    </sheetView>
  </sheetViews>
  <sheetFormatPr defaultRowHeight="14"/>
  <cols>
    <col min="1" max="1" width="42.1640625" customWidth="1"/>
    <col min="2" max="2" width="9.9140625" customWidth="1"/>
    <col min="3" max="3" width="14" customWidth="1"/>
    <col min="4" max="4" width="15.58203125" customWidth="1"/>
    <col min="5" max="5" width="14.1640625" customWidth="1"/>
    <col min="6" max="6" width="9" customWidth="1"/>
  </cols>
  <sheetData>
    <row r="1" spans="1:6" ht="21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/>
      <c r="C2" s="2"/>
      <c r="D2" s="2"/>
      <c r="E2" s="2"/>
      <c r="F2" s="2"/>
    </row>
    <row r="4" spans="1:6" ht="14.5">
      <c r="A4" s="3" t="s">
        <v>2</v>
      </c>
      <c r="B4" s="30">
        <f>SUM(C9:C26)</f>
        <v>318907.85000000003</v>
      </c>
      <c r="C4" s="30" t="s">
        <v>3</v>
      </c>
      <c r="D4" s="30">
        <f>SUM(D9:D26)</f>
        <v>357618.83999999991</v>
      </c>
      <c r="E4" s="4" t="s">
        <v>4</v>
      </c>
      <c r="F4" s="31">
        <f>SUM(E9:E26)</f>
        <v>38710.99</v>
      </c>
    </row>
    <row r="5" spans="1:6" ht="14.5">
      <c r="A5" s="5" t="s">
        <v>5</v>
      </c>
      <c r="B5" s="32">
        <v>18</v>
      </c>
      <c r="C5" s="6" t="s">
        <v>6</v>
      </c>
      <c r="D5" s="6" t="s">
        <v>7</v>
      </c>
      <c r="E5" s="6" t="s">
        <v>8</v>
      </c>
      <c r="F5" s="33">
        <f>SUM(B9:B26)</f>
        <v>1443</v>
      </c>
    </row>
    <row r="8" spans="1:6" ht="14.5">
      <c r="A8" s="7" t="s">
        <v>9</v>
      </c>
      <c r="B8" s="8" t="s">
        <v>10</v>
      </c>
      <c r="C8" s="8" t="s">
        <v>11</v>
      </c>
      <c r="D8" s="8" t="s">
        <v>12</v>
      </c>
      <c r="E8" s="8" t="s">
        <v>13</v>
      </c>
      <c r="F8" s="9" t="s">
        <v>14</v>
      </c>
    </row>
    <row r="9" spans="1:6" ht="14.5">
      <c r="A9" s="10" t="s">
        <v>15</v>
      </c>
      <c r="B9" s="14">
        <v>6</v>
      </c>
      <c r="C9" s="18">
        <v>43180.08</v>
      </c>
      <c r="D9" s="18">
        <v>48891</v>
      </c>
      <c r="E9" s="22">
        <f t="shared" ref="E9:E26" si="0">D9-C9</f>
        <v>5710.9199999999983</v>
      </c>
      <c r="F9" s="26">
        <f t="shared" ref="F9:F27" si="1">IF(C9=0,0,E9/C9)</f>
        <v>0.13225820795144422</v>
      </c>
    </row>
    <row r="10" spans="1:6" ht="14.5">
      <c r="A10" s="11" t="s">
        <v>16</v>
      </c>
      <c r="B10" s="15">
        <v>12</v>
      </c>
      <c r="C10" s="19">
        <v>27479.64</v>
      </c>
      <c r="D10" s="19">
        <v>36872.400000000001</v>
      </c>
      <c r="E10" s="23">
        <f t="shared" si="0"/>
        <v>9392.760000000002</v>
      </c>
      <c r="F10" s="27">
        <f t="shared" si="1"/>
        <v>0.34180797128346668</v>
      </c>
    </row>
    <row r="11" spans="1:6" ht="14.5">
      <c r="A11" s="11" t="s">
        <v>17</v>
      </c>
      <c r="B11" s="15">
        <v>10</v>
      </c>
      <c r="C11" s="19">
        <v>29252.7</v>
      </c>
      <c r="D11" s="19">
        <v>36357</v>
      </c>
      <c r="E11" s="23">
        <f t="shared" si="0"/>
        <v>7104.2999999999993</v>
      </c>
      <c r="F11" s="27">
        <f t="shared" si="1"/>
        <v>0.24285963346973097</v>
      </c>
    </row>
    <row r="12" spans="1:6" ht="14.5">
      <c r="A12" s="11" t="s">
        <v>18</v>
      </c>
      <c r="B12" s="15">
        <v>66</v>
      </c>
      <c r="C12" s="19">
        <v>28258.560000000001</v>
      </c>
      <c r="D12" s="19">
        <v>28878.3</v>
      </c>
      <c r="E12" s="23">
        <f t="shared" si="0"/>
        <v>619.73999999999796</v>
      </c>
      <c r="F12" s="27">
        <f t="shared" si="1"/>
        <v>2.1931053811659121E-2</v>
      </c>
    </row>
    <row r="13" spans="1:6" ht="14.5">
      <c r="A13" s="11" t="s">
        <v>19</v>
      </c>
      <c r="B13" s="15">
        <v>52</v>
      </c>
      <c r="C13" s="19">
        <v>22999.08</v>
      </c>
      <c r="D13" s="19">
        <v>24954.799999999999</v>
      </c>
      <c r="E13" s="23">
        <f t="shared" si="0"/>
        <v>1955.7199999999975</v>
      </c>
      <c r="F13" s="27">
        <f t="shared" si="1"/>
        <v>8.5034705736055413E-2</v>
      </c>
    </row>
    <row r="14" spans="1:6" ht="14.5">
      <c r="A14" s="11" t="s">
        <v>20</v>
      </c>
      <c r="B14" s="15">
        <v>7</v>
      </c>
      <c r="C14" s="19">
        <v>22078.91</v>
      </c>
      <c r="D14" s="19">
        <v>24520.3</v>
      </c>
      <c r="E14" s="23">
        <f t="shared" si="0"/>
        <v>2441.3899999999994</v>
      </c>
      <c r="F14" s="27">
        <f t="shared" si="1"/>
        <v>0.11057565794688232</v>
      </c>
    </row>
    <row r="15" spans="1:6" ht="14.5">
      <c r="A15" s="11" t="s">
        <v>21</v>
      </c>
      <c r="B15" s="15">
        <v>2</v>
      </c>
      <c r="C15" s="19">
        <v>21179</v>
      </c>
      <c r="D15" s="19">
        <v>22650</v>
      </c>
      <c r="E15" s="23">
        <f t="shared" si="0"/>
        <v>1471</v>
      </c>
      <c r="F15" s="27">
        <f t="shared" si="1"/>
        <v>6.9455592804192834E-2</v>
      </c>
    </row>
    <row r="16" spans="1:6" ht="14.5">
      <c r="A16" s="11" t="s">
        <v>22</v>
      </c>
      <c r="B16" s="15">
        <v>45</v>
      </c>
      <c r="C16" s="19">
        <v>19699.650000000001</v>
      </c>
      <c r="D16" s="19">
        <v>18762.75</v>
      </c>
      <c r="E16" s="23">
        <f t="shared" si="0"/>
        <v>-936.90000000000146</v>
      </c>
      <c r="F16" s="27">
        <f t="shared" si="1"/>
        <v>-4.7559220595289838E-2</v>
      </c>
    </row>
    <row r="17" spans="1:6" ht="14.5">
      <c r="A17" s="11" t="s">
        <v>23</v>
      </c>
      <c r="B17" s="15">
        <v>45</v>
      </c>
      <c r="C17" s="19">
        <v>15234.75</v>
      </c>
      <c r="D17" s="19">
        <v>15871.5</v>
      </c>
      <c r="E17" s="23">
        <f t="shared" si="0"/>
        <v>636.75</v>
      </c>
      <c r="F17" s="27">
        <f t="shared" si="1"/>
        <v>4.1795894254910648E-2</v>
      </c>
    </row>
    <row r="18" spans="1:6" ht="14.5">
      <c r="A18" s="11" t="s">
        <v>24</v>
      </c>
      <c r="B18" s="15">
        <v>25</v>
      </c>
      <c r="C18" s="19">
        <v>12717.5</v>
      </c>
      <c r="D18" s="19">
        <v>15210</v>
      </c>
      <c r="E18" s="23">
        <f t="shared" si="0"/>
        <v>2492.5</v>
      </c>
      <c r="F18" s="27">
        <f t="shared" si="1"/>
        <v>0.19598977786514646</v>
      </c>
    </row>
    <row r="19" spans="1:6" ht="14.5">
      <c r="A19" s="11" t="s">
        <v>25</v>
      </c>
      <c r="B19" s="15">
        <v>18</v>
      </c>
      <c r="C19" s="19">
        <v>12491.64</v>
      </c>
      <c r="D19" s="19">
        <v>14860.8</v>
      </c>
      <c r="E19" s="23">
        <f t="shared" si="0"/>
        <v>2369.16</v>
      </c>
      <c r="F19" s="27">
        <f t="shared" si="1"/>
        <v>0.18965964437015476</v>
      </c>
    </row>
    <row r="20" spans="1:6" ht="14.5">
      <c r="A20" s="11" t="s">
        <v>26</v>
      </c>
      <c r="B20" s="15">
        <v>25</v>
      </c>
      <c r="C20" s="19">
        <v>13159.75</v>
      </c>
      <c r="D20" s="19">
        <v>13752.5</v>
      </c>
      <c r="E20" s="23">
        <f t="shared" si="0"/>
        <v>592.75</v>
      </c>
      <c r="F20" s="27">
        <f t="shared" si="1"/>
        <v>4.5042648986492906E-2</v>
      </c>
    </row>
    <row r="21" spans="1:6" ht="14.5">
      <c r="A21" s="11" t="s">
        <v>27</v>
      </c>
      <c r="B21" s="15">
        <v>940</v>
      </c>
      <c r="C21" s="19">
        <v>14551.2</v>
      </c>
      <c r="D21" s="19">
        <v>13413.8</v>
      </c>
      <c r="E21" s="23">
        <f t="shared" si="0"/>
        <v>-1137.4000000000015</v>
      </c>
      <c r="F21" s="27">
        <f t="shared" si="1"/>
        <v>-7.8165374677002686E-2</v>
      </c>
    </row>
    <row r="22" spans="1:6" ht="14.5">
      <c r="A22" s="11" t="s">
        <v>28</v>
      </c>
      <c r="B22" s="15">
        <v>25</v>
      </c>
      <c r="C22" s="19">
        <v>10940.25</v>
      </c>
      <c r="D22" s="19">
        <v>12835</v>
      </c>
      <c r="E22" s="23">
        <f t="shared" si="0"/>
        <v>1894.75</v>
      </c>
      <c r="F22" s="27">
        <f t="shared" si="1"/>
        <v>0.17319074061378853</v>
      </c>
    </row>
    <row r="23" spans="1:6" ht="14.5">
      <c r="A23" s="11" t="s">
        <v>29</v>
      </c>
      <c r="B23" s="15">
        <v>25</v>
      </c>
      <c r="C23" s="19">
        <v>11607.75</v>
      </c>
      <c r="D23" s="19">
        <v>12272.5</v>
      </c>
      <c r="E23" s="23">
        <f t="shared" si="0"/>
        <v>664.75</v>
      </c>
      <c r="F23" s="27">
        <f t="shared" si="1"/>
        <v>5.7267773685684135E-2</v>
      </c>
    </row>
    <row r="24" spans="1:6" ht="14.5">
      <c r="A24" s="11" t="s">
        <v>30</v>
      </c>
      <c r="B24" s="15">
        <v>59</v>
      </c>
      <c r="C24" s="19">
        <v>8319.59</v>
      </c>
      <c r="D24" s="19">
        <v>9773.94</v>
      </c>
      <c r="E24" s="23">
        <f t="shared" si="0"/>
        <v>1454.3500000000004</v>
      </c>
      <c r="F24" s="27">
        <f t="shared" si="1"/>
        <v>0.17481029714204671</v>
      </c>
    </row>
    <row r="25" spans="1:6" ht="14.5">
      <c r="A25" s="11" t="s">
        <v>31</v>
      </c>
      <c r="B25" s="15">
        <v>80</v>
      </c>
      <c r="C25" s="19">
        <v>5147.2</v>
      </c>
      <c r="D25" s="19">
        <v>7097.6</v>
      </c>
      <c r="E25" s="23">
        <f t="shared" si="0"/>
        <v>1950.4000000000005</v>
      </c>
      <c r="F25" s="27">
        <f t="shared" si="1"/>
        <v>0.37892446378613626</v>
      </c>
    </row>
    <row r="26" spans="1:6" ht="14.5">
      <c r="A26" s="12" t="s">
        <v>32</v>
      </c>
      <c r="B26" s="16">
        <v>1</v>
      </c>
      <c r="C26" s="20">
        <v>610.6</v>
      </c>
      <c r="D26" s="20">
        <v>644.65</v>
      </c>
      <c r="E26" s="24">
        <f t="shared" si="0"/>
        <v>34.049999999999955</v>
      </c>
      <c r="F26" s="28">
        <f t="shared" si="1"/>
        <v>5.5764821487061828E-2</v>
      </c>
    </row>
    <row r="27" spans="1:6" ht="14.5">
      <c r="A27" s="13" t="s">
        <v>33</v>
      </c>
      <c r="B27" s="17">
        <f>SUM(B9:B26)</f>
        <v>1443</v>
      </c>
      <c r="C27" s="21">
        <f>SUM(C9:C26)</f>
        <v>318907.85000000003</v>
      </c>
      <c r="D27" s="21">
        <f>SUM(D9:D26)</f>
        <v>357618.83999999991</v>
      </c>
      <c r="E27" s="25">
        <f>SUM(E9:E26)</f>
        <v>38710.99</v>
      </c>
      <c r="F27" s="29">
        <f t="shared" si="1"/>
        <v>0.12138613082117607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Jaihind, Gokul Krishna C K</cp:lastModifiedBy>
  <dcterms:modified xsi:type="dcterms:W3CDTF">2026-04-29T20:20:30Z</dcterms:modified>
</cp:coreProperties>
</file>